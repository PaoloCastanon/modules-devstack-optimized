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men" sheetId="1" state="visible" r:id="rId1"/>
    <sheet xmlns:r="http://schemas.openxmlformats.org/officeDocument/2006/relationships" name="Objetivos_SMART" sheetId="2" state="visible" r:id="rId2"/>
    <sheet xmlns:r="http://schemas.openxmlformats.org/officeDocument/2006/relationships" name="Requerimientos" sheetId="3" state="visible" r:id="rId3"/>
    <sheet xmlns:r="http://schemas.openxmlformats.org/officeDocument/2006/relationships" name="Backlog" sheetId="4" state="visible" r:id="rId4"/>
    <sheet xmlns:r="http://schemas.openxmlformats.org/officeDocument/2006/relationships" name="Trazabilidad" sheetId="5" state="visible" r:id="rId5"/>
    <sheet xmlns:r="http://schemas.openxmlformats.org/officeDocument/2006/relationships" name="Sprints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List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F2937"/>
      <sz val="12"/>
    </font>
    <font>
      <name val="Carlito"/>
      <b val="1"/>
      <color rgb="FF1F2937"/>
      <sz val="11"/>
    </font>
    <font>
      <name val="Carlito"/>
      <b val="1"/>
      <color rgb="FF1F2937"/>
      <sz val="13"/>
    </font>
  </fonts>
  <fills count="6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2F8"/>
      </patternFill>
    </fill>
  </fills>
  <borders count="19">
    <border/>
    <border/>
    <border>
      <left style="thin">
        <color rgb="FFB4C7E7"/>
      </left>
      <top style="thin">
        <color rgb="FFB4C7E7"/>
      </top>
    </border>
    <border>
      <top style="thin">
        <color rgb="FFB4C7E7"/>
      </top>
    </border>
    <border>
      <right style="thin">
        <color rgb="FFB4C7E7"/>
      </right>
      <top style="thin">
        <color rgb="FFB4C7E7"/>
      </top>
    </border>
    <border>
      <left style="thin">
        <color rgb="FFB4C7E7"/>
      </left>
    </border>
    <border>
      <right style="thin">
        <color rgb="FFB4C7E7"/>
      </right>
    </border>
    <border>
      <left style="thin">
        <color rgb="FFB4C7E7"/>
      </left>
      <bottom style="thin">
        <color rgb="FFB4C7E7"/>
      </bottom>
    </border>
    <border>
      <bottom style="thin">
        <color rgb="FFB4C7E7"/>
      </bottom>
    </border>
    <border>
      <right style="thin">
        <color rgb="FFB4C7E7"/>
      </right>
      <bottom style="thin">
        <color rgb="FFB4C7E7"/>
      </bottom>
    </border>
    <border>
      <left style="thin">
        <color rgb="FFB4C7E7"/>
      </left>
      <top style="thin">
        <color rgb="FFB4C7E7"/>
      </top>
    </border>
    <border>
      <top style="thin">
        <color rgb="FFB4C7E7"/>
      </top>
    </border>
    <border>
      <right style="thin">
        <color rgb="FFB4C7E7"/>
      </right>
      <top style="thin">
        <color rgb="FFB4C7E7"/>
      </top>
    </border>
    <border>
      <left style="thin">
        <color rgb="FFB4C7E7"/>
      </left>
    </border>
    <border>
      <right style="thin">
        <color rgb="FFB4C7E7"/>
      </right>
    </border>
    <border>
      <left style="thin">
        <color rgb="FFB4C7E7"/>
      </left>
      <bottom style="thin">
        <color rgb="FFB4C7E7"/>
      </bottom>
    </border>
    <border>
      <bottom style="thin">
        <color rgb="FFB4C7E7"/>
      </bottom>
    </border>
    <border>
      <right style="thin">
        <color rgb="FFB4C7E7"/>
      </right>
      <bottom style="thin">
        <color rgb="FFB4C7E7"/>
      </bottom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</borders>
  <cellStyleXfs count="1">
    <xf numFmtId="0" fontId="0" fillId="0" borderId="1"/>
  </cellStyleXfs>
  <cellXfs count="14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0" fillId="2" borderId="0" applyAlignment="1" pivotButton="0" quotePrefix="0" xfId="0">
      <alignment wrapText="1"/>
    </xf>
    <xf numFmtId="0" fontId="0" fillId="2" borderId="1" applyAlignment="1" pivotButton="0" quotePrefix="0" xfId="0">
      <alignment wrapText="1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 wrapText="1"/>
    </xf>
    <xf numFmtId="9" fontId="0" fillId="0" borderId="0" pivotButton="0" quotePrefix="0" xfId="0"/>
    <xf numFmtId="9" fontId="0" fillId="0" borderId="1" pivotButton="0" quotePrefix="0" xfId="0"/>
    <xf numFmtId="9" fontId="0" fillId="0" borderId="0" applyAlignment="1" pivotButton="0" quotePrefix="0" xfId="0">
      <alignment wrapText="1"/>
    </xf>
    <xf numFmtId="9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0" fontId="0" fillId="5" borderId="0" pivotButton="0" quotePrefix="0" xfId="0"/>
    <xf numFmtId="0" fontId="4" fillId="5" borderId="0" pivotButton="0" quotePrefix="0" xfId="0"/>
    <xf numFmtId="0" fontId="0" fillId="5" borderId="1" pivotButton="0" quotePrefix="0" xfId="0"/>
    <xf numFmtId="0" fontId="4" fillId="5" borderId="1" pivotButton="0" quotePrefix="0" xfId="0"/>
    <xf numFmtId="0" fontId="4" fillId="5" borderId="0" applyAlignment="1" pivotButton="0" quotePrefix="0" xfId="0">
      <alignment wrapText="1"/>
    </xf>
    <xf numFmtId="0" fontId="4" fillId="5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5" borderId="0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4" pivotButton="0" quotePrefix="0" xfId="0"/>
    <xf numFmtId="0" fontId="5" fillId="5" borderId="5" pivotButton="0" quotePrefix="0" xfId="0"/>
    <xf numFmtId="0" fontId="5" fillId="5" borderId="6" pivotButton="0" quotePrefix="0" xfId="0"/>
    <xf numFmtId="0" fontId="5" fillId="5" borderId="7" pivotButton="0" quotePrefix="0" xfId="0"/>
    <xf numFmtId="0" fontId="5" fillId="5" borderId="8" pivotButton="0" quotePrefix="0" xfId="0"/>
    <xf numFmtId="0" fontId="5" fillId="5" borderId="9" pivotButton="0" quotePrefix="0" xfId="0"/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4" applyAlignment="1" pivotButton="0" quotePrefix="0" xfId="0">
      <alignment wrapText="1"/>
    </xf>
    <xf numFmtId="0" fontId="5" fillId="5" borderId="5" applyAlignment="1" pivotButton="0" quotePrefix="0" xfId="0">
      <alignment wrapText="1"/>
    </xf>
    <xf numFmtId="0" fontId="5" fillId="5" borderId="0" applyAlignment="1" pivotButton="0" quotePrefix="0" xfId="0">
      <alignment wrapText="1"/>
    </xf>
    <xf numFmtId="0" fontId="5" fillId="5" borderId="6" applyAlignment="1" pivotButton="0" quotePrefix="0" xfId="0">
      <alignment wrapText="1"/>
    </xf>
    <xf numFmtId="0" fontId="5" fillId="5" borderId="7" applyAlignment="1" pivotButton="0" quotePrefix="0" xfId="0">
      <alignment wrapText="1"/>
    </xf>
    <xf numFmtId="0" fontId="5" fillId="5" borderId="8" applyAlignment="1" pivotButton="0" quotePrefix="0" xfId="0">
      <alignment wrapText="1"/>
    </xf>
    <xf numFmtId="0" fontId="5" fillId="5" borderId="9" applyAlignment="1" pivotButton="0" quotePrefix="0" xfId="0">
      <alignment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4" applyAlignment="1" pivotButton="0" quotePrefix="0" xfId="0">
      <alignment horizontal="center" wrapText="1"/>
    </xf>
    <xf numFmtId="0" fontId="5" fillId="5" borderId="5" applyAlignment="1" pivotButton="0" quotePrefix="0" xfId="0">
      <alignment horizontal="center" wrapText="1"/>
    </xf>
    <xf numFmtId="0" fontId="5" fillId="5" borderId="0" applyAlignment="1" pivotButton="0" quotePrefix="0" xfId="0">
      <alignment horizontal="center" wrapText="1"/>
    </xf>
    <xf numFmtId="0" fontId="5" fillId="5" borderId="6" applyAlignment="1" pivotButton="0" quotePrefix="0" xfId="0">
      <alignment horizontal="center" wrapText="1"/>
    </xf>
    <xf numFmtId="0" fontId="5" fillId="5" borderId="7" applyAlignment="1" pivotButton="0" quotePrefix="0" xfId="0">
      <alignment horizontal="center" wrapText="1"/>
    </xf>
    <xf numFmtId="0" fontId="5" fillId="5" borderId="8" applyAlignment="1" pivotButton="0" quotePrefix="0" xfId="0">
      <alignment horizontal="center" wrapText="1"/>
    </xf>
    <xf numFmtId="0" fontId="5" fillId="5" borderId="9" applyAlignment="1" pivotButton="0" quotePrefix="0" xfId="0">
      <alignment horizont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5" fillId="5" borderId="5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5" borderId="6" applyAlignment="1" pivotButton="0" quotePrefix="0" xfId="0">
      <alignment horizontal="center" vertical="center" wrapText="1"/>
    </xf>
    <xf numFmtId="0" fontId="5" fillId="5" borderId="7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 wrapText="1"/>
    </xf>
    <xf numFmtId="0" fontId="5" fillId="5" borderId="9" applyAlignment="1" pivotButton="0" quotePrefix="0" xfId="0">
      <alignment horizontal="center" vertical="center" wrapText="1"/>
    </xf>
    <xf numFmtId="0" fontId="5" fillId="5" borderId="1" pivotButton="0" quotePrefix="0" xfId="0"/>
    <xf numFmtId="0" fontId="5" fillId="5" borderId="10" pivotButton="0" quotePrefix="0" xfId="0"/>
    <xf numFmtId="0" fontId="5" fillId="5" borderId="11" pivotButton="0" quotePrefix="0" xfId="0"/>
    <xf numFmtId="0" fontId="5" fillId="5" borderId="12" pivotButton="0" quotePrefix="0" xfId="0"/>
    <xf numFmtId="0" fontId="5" fillId="5" borderId="13" pivotButton="0" quotePrefix="0" xfId="0"/>
    <xf numFmtId="0" fontId="5" fillId="5" borderId="14" pivotButton="0" quotePrefix="0" xfId="0"/>
    <xf numFmtId="0" fontId="5" fillId="5" borderId="15" pivotButton="0" quotePrefix="0" xfId="0"/>
    <xf numFmtId="0" fontId="5" fillId="5" borderId="16" pivotButton="0" quotePrefix="0" xfId="0"/>
    <xf numFmtId="0" fontId="5" fillId="5" borderId="17" pivotButton="0" quotePrefix="0" xfId="0"/>
    <xf numFmtId="0" fontId="5" fillId="5" borderId="10" applyAlignment="1" pivotButton="0" quotePrefix="0" xfId="0">
      <alignment wrapText="1"/>
    </xf>
    <xf numFmtId="0" fontId="5" fillId="5" borderId="11" applyAlignment="1" pivotButton="0" quotePrefix="0" xfId="0">
      <alignment wrapText="1"/>
    </xf>
    <xf numFmtId="0" fontId="5" fillId="5" borderId="12" applyAlignment="1" pivotButton="0" quotePrefix="0" xfId="0">
      <alignment wrapText="1"/>
    </xf>
    <xf numFmtId="0" fontId="5" fillId="5" borderId="13" applyAlignment="1" pivotButton="0" quotePrefix="0" xfId="0">
      <alignment wrapText="1"/>
    </xf>
    <xf numFmtId="0" fontId="5" fillId="5" borderId="1" applyAlignment="1" pivotButton="0" quotePrefix="0" xfId="0">
      <alignment wrapText="1"/>
    </xf>
    <xf numFmtId="0" fontId="5" fillId="5" borderId="14" applyAlignment="1" pivotButton="0" quotePrefix="0" xfId="0">
      <alignment wrapText="1"/>
    </xf>
    <xf numFmtId="0" fontId="5" fillId="5" borderId="15" applyAlignment="1" pivotButton="0" quotePrefix="0" xfId="0">
      <alignment wrapText="1"/>
    </xf>
    <xf numFmtId="0" fontId="5" fillId="5" borderId="16" applyAlignment="1" pivotButton="0" quotePrefix="0" xfId="0">
      <alignment wrapText="1"/>
    </xf>
    <xf numFmtId="0" fontId="5" fillId="5" borderId="17" applyAlignment="1" pivotButton="0" quotePrefix="0" xfId="0">
      <alignment wrapText="1"/>
    </xf>
    <xf numFmtId="0" fontId="5" fillId="5" borderId="10" applyAlignment="1" pivotButton="0" quotePrefix="0" xfId="0">
      <alignment horizontal="center" wrapText="1"/>
    </xf>
    <xf numFmtId="0" fontId="5" fillId="5" borderId="11" applyAlignment="1" pivotButton="0" quotePrefix="0" xfId="0">
      <alignment horizontal="center" wrapText="1"/>
    </xf>
    <xf numFmtId="0" fontId="5" fillId="5" borderId="12" applyAlignment="1" pivotButton="0" quotePrefix="0" xfId="0">
      <alignment horizontal="center" wrapText="1"/>
    </xf>
    <xf numFmtId="0" fontId="5" fillId="5" borderId="1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wrapText="1"/>
    </xf>
    <xf numFmtId="0" fontId="5" fillId="5" borderId="14" applyAlignment="1" pivotButton="0" quotePrefix="0" xfId="0">
      <alignment horizontal="center" wrapText="1"/>
    </xf>
    <xf numFmtId="0" fontId="5" fillId="5" borderId="15" applyAlignment="1" pivotButton="0" quotePrefix="0" xfId="0">
      <alignment horizontal="center" wrapText="1"/>
    </xf>
    <xf numFmtId="0" fontId="5" fillId="5" borderId="16" applyAlignment="1" pivotButton="0" quotePrefix="0" xfId="0">
      <alignment horizontal="center" wrapText="1"/>
    </xf>
    <xf numFmtId="0" fontId="5" fillId="5" borderId="17" applyAlignment="1" pivotButton="0" quotePrefix="0" xfId="0">
      <alignment horizontal="center" wrapText="1"/>
    </xf>
    <xf numFmtId="0" fontId="5" fillId="5" borderId="10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vertical="center" wrapText="1"/>
    </xf>
    <xf numFmtId="0" fontId="5" fillId="5" borderId="12" applyAlignment="1" pivotButton="0" quotePrefix="0" xfId="0">
      <alignment horizontal="center" vertical="center" wrapText="1"/>
    </xf>
    <xf numFmtId="0" fontId="5" fillId="5" borderId="13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4" applyAlignment="1" pivotButton="0" quotePrefix="0" xfId="0">
      <alignment horizontal="center" vertical="center" wrapText="1"/>
    </xf>
    <xf numFmtId="0" fontId="5" fillId="5" borderId="15" applyAlignment="1" pivotButton="0" quotePrefix="0" xfId="0">
      <alignment horizontal="center" vertical="center" wrapText="1"/>
    </xf>
    <xf numFmtId="0" fontId="5" fillId="5" borderId="16" applyAlignment="1" pivotButton="0" quotePrefix="0" xfId="0">
      <alignment horizontal="center" vertical="center" wrapText="1"/>
    </xf>
    <xf numFmtId="0" fontId="5" fillId="5" borderId="17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9" fontId="0" fillId="0" borderId="0" pivotButton="0" quotePrefix="0" xfId="0"/>
    <xf numFmtId="164" fontId="0" fillId="0" borderId="0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5" fillId="5" borderId="18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</cellXfs>
  <cellStyles count="1">
    <cellStyle name="Normal" xfId="0"/>
  </cellStyles>
  <dxfs count="26"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E7E6E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E7E6E6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E7E6E6"/>
        </patternFill>
      </fill>
    </dxf>
    <dxf>
      <font>
        <color rgb="FF7F7F7F"/>
      </font>
      <fill>
        <patternFill>
          <bgColor rgb="FFD9D9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E7E6E6"/>
        </patternFill>
      </fill>
    </dxf>
    <dxf>
      <font>
        <b val="1"/>
      </font>
      <fill>
        <patternFill>
          <bgColor rgb="FFDDEBF7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7E6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Story Points por Sprint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SP planificados</v>
          </tx>
          <spPr>
            <a:ln xmlns:a="http://schemas.openxmlformats.org/drawingml/2006/main">
              <a:prstDash val="solid"/>
            </a:ln>
          </spPr>
          <cat>
            <strRef>
              <f>'Dashboard'!$A$13:$A$17</f>
              <strCache>
                <ptCount val="0"/>
              </strCache>
            </strRef>
          </cat>
          <val>
            <numRef>
              <f>'Dashboard'!$B$13:$B$17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SP completados</v>
          </tx>
          <spPr>
            <a:ln xmlns:a="http://schemas.openxmlformats.org/drawingml/2006/main">
              <a:prstDash val="solid"/>
            </a:ln>
          </spPr>
          <cat>
            <strRef>
              <f>'Dashboard'!$A$13:$A$17</f>
              <strCache>
                <ptCount val="0"/>
              </strCache>
            </strRef>
          </cat>
          <val>
            <numRef>
              <f>'Dashboard'!$C$13:$C$17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Estado del Backlog</a:t>
            </a:r>
          </a:p>
        </rich>
      </tx>
    </title>
    <plotArea>
      <doughnutChart>
        <varyColors val="1"/>
        <ser>
          <idx val="0"/>
          <order val="0"/>
          <tx>
            <v>Cantidad</v>
          </tx>
          <spPr>
            <a:ln xmlns:a="http://schemas.openxmlformats.org/drawingml/2006/main">
              <a:prstDash val="solid"/>
            </a:ln>
          </spPr>
          <cat>
            <strRef>
              <f>'Dashboard'!$E$13:$E$17</f>
              <strCache>
                <ptCount val="0"/>
              </strCache>
            </strRef>
          </cat>
          <val>
            <numRef>
              <f>'Dashboard'!$F$13:$F$17</f>
              <numCache>
                <formatCode>General</formatCode>
                <ptCount val="0"/>
              </numCache>
            </numRef>
          </val>
        </ser>
        <firstSliceAng val="0"/>
        <holeSize val="10"/>
      </doughnutChart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Requerimientos por Estado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Cantidad</v>
          </tx>
          <spPr>
            <a:ln xmlns:a="http://schemas.openxmlformats.org/drawingml/2006/main">
              <a:prstDash val="solid"/>
            </a:ln>
          </spPr>
          <cat>
            <strRef>
              <f>'Dashboard'!$H$13:$H$18</f>
              <strCache>
                <ptCount val="0"/>
              </strCache>
            </strRef>
          </cat>
          <val>
            <numRef>
              <f>'Dashboard'!$I$13:$I$18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Backlog por Épica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Cantidad</v>
          </tx>
          <spPr>
            <a:ln xmlns:a="http://schemas.openxmlformats.org/drawingml/2006/main">
              <a:prstDash val="solid"/>
            </a:ln>
          </spPr>
          <cat>
            <strRef>
              <f>'Dashboard'!$K$13:$K$19</f>
              <strCache>
                <ptCount val="0"/>
              </strCache>
            </strRef>
          </cat>
          <val>
            <numRef>
              <f>'Dashboard'!$L$13:$L$19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Avance de Objetivos SMART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Estado</v>
          </tx>
          <spPr>
            <a:ln xmlns:a="http://schemas.openxmlformats.org/drawingml/2006/main">
              <a:prstDash val="solid"/>
            </a:ln>
          </spPr>
          <cat>
            <strRef>
              <f>'Dashboard'!$A$23:$A$27</f>
              <strCache>
                <ptCount val="0"/>
              </strCache>
            </strRef>
          </cat>
          <val>
            <numRef>
              <f>'Dashboard'!$B$23:$B$27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Avance</v>
          </tx>
          <spPr>
            <a:ln xmlns:a="http://schemas.openxmlformats.org/drawingml/2006/main">
              <a:prstDash val="solid"/>
            </a:ln>
          </spPr>
          <cat>
            <strRef>
              <f>'Dashboard'!$A$23:$A$27</f>
              <strCache>
                <ptCount val="0"/>
              </strCache>
            </strRef>
          </cat>
          <val>
            <numRef>
              <f>'Dashboard'!$C$23:$C$27</f>
              <numCache>
                <formatCode>0%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twoCellAnchor>
    <from>
      <col>0</col>
      <colOff>0</colOff>
      <row>29</row>
      <rowOff>0</rowOff>
    </from>
    <to>
      <col>6</col>
      <colOff>0</colOff>
      <row>46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0</colOff>
      <row>29</row>
      <rowOff>0</rowOff>
    </from>
    <to>
      <col>12</col>
      <colOff>0</colOff>
      <row>46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0</colOff>
      <row>47</row>
      <rowOff>0</rowOff>
    </from>
    <to>
      <col>6</col>
      <colOff>0</colOff>
      <row>64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6</col>
      <colOff>0</colOff>
      <row>47</row>
      <rowOff>0</rowOff>
    </from>
    <to>
      <col>12</col>
      <colOff>0</colOff>
      <row>64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0</colOff>
      <row>65</row>
      <rowOff>0</rowOff>
    </from>
    <to>
      <col>6</col>
      <colOff>0</colOff>
      <row>82</row>
      <rowOff>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bjetivosTable" displayName="ObjetivosTable" ref="A3:L8" headerRowCount="1" totalsRowCount="0" totalsRowShown="0">
  <tableColumns count="12">
    <tableColumn id="1" name="ID"/>
    <tableColumn id="2" name="Objetivo específico"/>
    <tableColumn id="3" name="Specific"/>
    <tableColumn id="4" name="Measurable"/>
    <tableColumn id="5" name="Achievable"/>
    <tableColumn id="6" name="Relevant"/>
    <tableColumn id="7" name="Time-bound"/>
    <tableColumn id="8" name="Indicador"/>
    <tableColumn id="9" name="Meta"/>
    <tableColumn id="10" name="Fecha límite"/>
    <tableColumn id="11" name="Estado"/>
    <tableColumn id="12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querimientosTable" displayName="RequerimientosTable" ref="A3:M22" headerRowCount="1" totalsRowCount="0" totalsRowShown="0">
  <tableColumns count="13">
    <tableColumn id="1" name="ID"/>
    <tableColumn id="2" name="Tipo"/>
    <tableColumn id="3" name="Nombre"/>
    <tableColumn id="4" name="Descripción"/>
    <tableColumn id="5" name="Justificación"/>
    <tableColumn id="6" name="Fuente"/>
    <tableColumn id="7" name="Objetivo relacionado"/>
    <tableColumn id="8" name="Prioridad"/>
    <tableColumn id="9" name="Criterio de aceptación"/>
    <tableColumn id="10" name="Método de verificación"/>
    <tableColumn id="11" name="Estado"/>
    <tableColumn id="12" name="Responsable"/>
    <tableColumn id="13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BacklogTable" displayName="BacklogTable" ref="A3:Q29" headerRowCount="1" totalsRowCount="0" totalsRowShown="0">
  <tableColumns count="17">
    <tableColumn id="1" name="ID"/>
    <tableColumn id="2" name="Épica"/>
    <tableColumn id="3" name="Tipo"/>
    <tableColumn id="4" name="Descripción"/>
    <tableColumn id="5" name="Objetivo"/>
    <tableColumn id="6" name="Requerimiento"/>
    <tableColumn id="7" name="Prioridad"/>
    <tableColumn id="8" name="Criterio de aceptación"/>
    <tableColumn id="9" name="Story Points"/>
    <tableColumn id="10" name="Responsable"/>
    <tableColumn id="11" name="Sprint"/>
    <tableColumn id="12" name="Estado"/>
    <tableColumn id="13" name="Dependencia"/>
    <tableColumn id="14" name="Fecha inicio"/>
    <tableColumn id="15" name="Fecha límite"/>
    <tableColumn id="16" name="Evidencia"/>
    <tableColumn id="17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razabilidadTable" displayName="TrazabilidadTable" ref="A3:H11" headerRowCount="1" totalsRowCount="0" totalsRowShown="0">
  <tableColumns count="8">
    <tableColumn id="1" name="ID"/>
    <tableColumn id="2" name="Aspecto del problema"/>
    <tableColumn id="3" name="Objetivo"/>
    <tableColumn id="4" name="Requerimiento"/>
    <tableColumn id="5" name="Backlog relacionado"/>
    <tableColumn id="6" name="Criterio de validación"/>
    <tableColumn id="7" name="Evidencia esperada"/>
    <tableColumn id="8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printsTable" displayName="SprintsTable" ref="A3:K8" headerRowCount="1" totalsRowCount="0" totalsRowShown="0">
  <tableColumns count="11">
    <tableColumn id="1" name="Sprint"/>
    <tableColumn id="2" name="Inicio"/>
    <tableColumn id="3" name="Fin"/>
    <tableColumn id="4" name="Etapa"/>
    <tableColumn id="5" name="Objetivo principal"/>
    <tableColumn id="6" name="Entregables"/>
    <tableColumn id="7" name="Story Points planificados"/>
    <tableColumn id="8" name="Story Points completados"/>
    <tableColumn id="9" name="% avance"/>
    <tableColumn id="10" name="Estado"/>
    <tableColumn id="11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28" customWidth="1" style="136" min="1" max="1"/>
    <col width="52" customWidth="1" style="136" min="2" max="2"/>
    <col width="28" customWidth="1" style="136" min="4" max="4"/>
    <col width="18" customWidth="1" style="136" min="5" max="5"/>
  </cols>
  <sheetData>
    <row r="1" ht="32" customHeight="1" s="136">
      <c r="A1" s="21" t="inlineStr">
        <is>
          <t>Planificación y Trazabilidad — Trabajo de Título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45" t="inlineStr">
        <is>
          <t>Reimplementación de Servicios OpenStack mediante un Lenguaje Compilado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28" t="n"/>
    </row>
    <row r="4">
      <c r="A4" s="129" t="inlineStr">
        <is>
          <t>Universidad</t>
        </is>
      </c>
      <c r="B4" s="12" t="inlineStr">
        <is>
          <t>Universidad Católica de Temuco</t>
        </is>
      </c>
      <c r="D4" s="45" t="inlineStr">
        <is>
          <t>Indicadores del proyecto</t>
        </is>
      </c>
      <c r="E4" s="1" t="n"/>
      <c r="F4" s="1" t="n"/>
      <c r="G4" s="1" t="n"/>
      <c r="H4" s="1" t="n"/>
    </row>
    <row r="5">
      <c r="A5" s="129" t="inlineStr">
        <is>
          <t>Carrera</t>
        </is>
      </c>
      <c r="B5" s="12" t="inlineStr">
        <is>
          <t>Ingeniería Civil en Informática</t>
        </is>
      </c>
      <c r="D5" s="47" t="inlineStr">
        <is>
          <t>Total de objetivos</t>
        </is>
      </c>
      <c r="E5">
        <f>COUNTA(Objetivos_SMART!$A$4:$A$200)</f>
        <v/>
      </c>
    </row>
    <row r="6">
      <c r="A6" s="129" t="inlineStr">
        <is>
          <t>Integrantes</t>
        </is>
      </c>
      <c r="B6" s="12" t="inlineStr">
        <is>
          <t>Paolo Castañon Barrera / Juan Claudio Cárdenas Uribe</t>
        </is>
      </c>
      <c r="D6" s="47" t="inlineStr">
        <is>
          <t>Total de requerimientos</t>
        </is>
      </c>
      <c r="E6">
        <f>COUNTA(Requerimientos!$A$4:$A$300)</f>
        <v/>
      </c>
    </row>
    <row r="7">
      <c r="A7" s="129" t="inlineStr">
        <is>
          <t>Profesor guía</t>
        </is>
      </c>
      <c r="B7" s="12" t="inlineStr">
        <is>
          <t>Alejandro Mellado Gatica</t>
        </is>
      </c>
      <c r="D7" s="47" t="inlineStr">
        <is>
          <t>Total de elementos del backlog</t>
        </is>
      </c>
      <c r="E7">
        <f>COUNTA(Backlog!$A$4:$A$500)</f>
        <v/>
      </c>
    </row>
    <row r="8">
      <c r="A8" s="129" t="inlineStr">
        <is>
          <t>Servicio principal</t>
        </is>
      </c>
      <c r="B8" s="12" t="inlineStr">
        <is>
          <t>OpenStack Placement</t>
        </is>
      </c>
      <c r="D8" s="47" t="inlineStr">
        <is>
          <t>Story Points totales</t>
        </is>
      </c>
      <c r="E8">
        <f>SUM(Backlog!$I$4:$I$500)</f>
        <v/>
      </c>
    </row>
    <row r="9">
      <c r="A9" s="129" t="inlineStr">
        <is>
          <t>Segundo servicio confirmado</t>
        </is>
      </c>
      <c r="B9" s="12" t="inlineStr">
        <is>
          <t>OpenStack Glance</t>
        </is>
      </c>
      <c r="D9" s="47" t="inlineStr">
        <is>
          <t>Story Points completados</t>
        </is>
      </c>
      <c r="E9">
        <f>SUMIF(Backlog!$L$4:$L$500,"Hecho",Backlog!$I$4:$I$500)</f>
        <v/>
      </c>
    </row>
    <row r="10">
      <c r="A10" s="129" t="inlineStr">
        <is>
          <t>Lenguaje propuesto</t>
        </is>
      </c>
      <c r="B10" s="12" t="inlineStr">
        <is>
          <t>Go</t>
        </is>
      </c>
      <c r="D10" s="47" t="inlineStr">
        <is>
          <t>Porcentaje de avance</t>
        </is>
      </c>
      <c r="E10" s="137">
        <f>IFERROR(E9/E8,0)</f>
        <v/>
      </c>
    </row>
    <row r="11">
      <c r="A11" s="129" t="inlineStr">
        <is>
          <t>Entorno</t>
        </is>
      </c>
      <c r="B11" s="12" t="inlineStr">
        <is>
          <t>OpenStack de un nodo mediante DevStack</t>
        </is>
      </c>
      <c r="D11" s="47" t="inlineStr">
        <is>
          <t>Requerimientos validados</t>
        </is>
      </c>
      <c r="E11">
        <f>COUNTIF(Requerimientos!$K$4:$K$300,"Validado")</f>
        <v/>
      </c>
    </row>
    <row r="12">
      <c r="A12" s="129" t="inlineStr">
        <is>
          <t>Fecha Etapa 1</t>
        </is>
      </c>
      <c r="B12" s="138" t="n">
        <v>46269</v>
      </c>
      <c r="D12" s="47" t="inlineStr">
        <is>
          <t>Tareas bloqueadas</t>
        </is>
      </c>
      <c r="E12">
        <f>COUNTIF(Backlog!$L$4:$L$500,"Bloqueado")</f>
        <v/>
      </c>
    </row>
    <row r="13">
      <c r="A13" s="129" t="inlineStr">
        <is>
          <t>Fecha final</t>
        </is>
      </c>
      <c r="B13" s="138" t="n">
        <v>46360</v>
      </c>
    </row>
    <row r="14">
      <c r="A14" s="128" t="n"/>
    </row>
    <row r="15">
      <c r="A15" s="128" t="n"/>
    </row>
    <row r="16">
      <c r="A16" s="45" t="inlineStr">
        <is>
          <t>Enfoque metodológico</t>
        </is>
      </c>
      <c r="B16" s="1" t="n"/>
      <c r="C16" s="1" t="n"/>
      <c r="D16" s="1" t="n"/>
      <c r="E16" s="1" t="n"/>
      <c r="F16" s="1" t="n"/>
      <c r="G16" s="1" t="n"/>
      <c r="H16" s="1" t="n"/>
    </row>
    <row r="17">
      <c r="A17" s="133" t="inlineStr">
        <is>
          <t>La hipótesis del proyecto no asume que Python sea necesariamente lento. La reimplementación en Go será evaluada experimentalmente mediante compatibilidad funcional, latencia, throughput, consumo de CPU y memoria. El éxito del trabajo depende de obtener resultados reproducibles y de demostrar el grado de compatibilidad alcanzado, incluso si la mejora de rendimiento es limitada.</t>
        </is>
      </c>
      <c r="B17" s="1" t="n"/>
      <c r="C17" s="1" t="n"/>
      <c r="D17" s="1" t="n"/>
      <c r="E17" s="1" t="n"/>
      <c r="F17" s="1" t="n"/>
      <c r="G17" s="1" t="n"/>
      <c r="H17" s="1" t="n"/>
    </row>
    <row r="18">
      <c r="A18" s="1" t="n"/>
      <c r="H18" s="1" t="n"/>
    </row>
    <row r="19">
      <c r="A19" s="1" t="n"/>
      <c r="H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</row>
    <row r="21">
      <c r="A21" s="128" t="n"/>
    </row>
    <row r="22">
      <c r="A22" s="128" t="n"/>
    </row>
    <row r="23">
      <c r="A23" s="128" t="n"/>
    </row>
    <row r="24">
      <c r="A24" s="128" t="n"/>
    </row>
    <row r="25">
      <c r="A25" s="128" t="n"/>
    </row>
    <row r="26">
      <c r="A26" s="128" t="n"/>
    </row>
    <row r="27">
      <c r="A27" s="128" t="n"/>
    </row>
    <row r="28">
      <c r="A28" s="128" t="n"/>
    </row>
    <row r="29">
      <c r="A29" s="128" t="n"/>
    </row>
    <row r="30">
      <c r="A30" s="128" t="n"/>
    </row>
    <row r="31">
      <c r="A31" s="128" t="n"/>
    </row>
    <row r="32">
      <c r="A32" s="128" t="n"/>
    </row>
    <row r="33">
      <c r="A33" s="128" t="n"/>
    </row>
    <row r="34">
      <c r="A34" s="128" t="n"/>
    </row>
    <row r="35">
      <c r="A35" s="128" t="n"/>
    </row>
    <row r="36">
      <c r="A36" s="128" t="n"/>
    </row>
    <row r="37">
      <c r="A37" s="128" t="n"/>
    </row>
    <row r="38">
      <c r="A38" s="128" t="n"/>
    </row>
    <row r="39">
      <c r="A39" s="128" t="n"/>
    </row>
    <row r="40">
      <c r="A40" s="128" t="n"/>
    </row>
    <row r="41">
      <c r="A41" s="128" t="n"/>
    </row>
    <row r="42">
      <c r="A42" s="128" t="n"/>
    </row>
    <row r="43">
      <c r="A43" s="128" t="n"/>
    </row>
    <row r="44">
      <c r="A44" s="128" t="n"/>
    </row>
    <row r="45">
      <c r="A45" s="128" t="n"/>
    </row>
    <row r="46">
      <c r="A46" s="128" t="n"/>
    </row>
    <row r="47">
      <c r="A47" s="128" t="n"/>
    </row>
    <row r="48">
      <c r="A48" s="128" t="n"/>
    </row>
    <row r="49">
      <c r="A49" s="128" t="n"/>
    </row>
    <row r="50">
      <c r="A50" s="128" t="n"/>
    </row>
    <row r="51">
      <c r="A51" s="128" t="n"/>
    </row>
    <row r="52">
      <c r="A52" s="128" t="n"/>
    </row>
    <row r="53">
      <c r="A53" s="128" t="n"/>
    </row>
    <row r="54">
      <c r="A54" s="128" t="n"/>
    </row>
    <row r="55">
      <c r="A55" s="128" t="n"/>
    </row>
    <row r="56">
      <c r="A56" s="128" t="n"/>
    </row>
    <row r="57">
      <c r="A57" s="128" t="n"/>
    </row>
    <row r="58">
      <c r="A58" s="128" t="n"/>
    </row>
    <row r="59">
      <c r="A59" s="128" t="n"/>
    </row>
    <row r="60">
      <c r="A60" s="128" t="n"/>
    </row>
    <row r="61">
      <c r="A61" s="128" t="n"/>
    </row>
    <row r="62">
      <c r="A62" s="128" t="n"/>
    </row>
    <row r="63">
      <c r="A63" s="128" t="n"/>
    </row>
    <row r="64">
      <c r="A64" s="128" t="n"/>
    </row>
    <row r="65">
      <c r="A65" s="128" t="n"/>
    </row>
    <row r="66">
      <c r="A66" s="128" t="n"/>
    </row>
    <row r="67">
      <c r="A67" s="128" t="n"/>
    </row>
    <row r="68">
      <c r="A68" s="128" t="n"/>
    </row>
    <row r="69">
      <c r="A69" s="128" t="n"/>
    </row>
    <row r="70">
      <c r="A70" s="128" t="n"/>
    </row>
    <row r="71">
      <c r="A71" s="128" t="n"/>
    </row>
    <row r="72">
      <c r="A72" s="128" t="n"/>
    </row>
    <row r="73">
      <c r="A73" s="128" t="n"/>
    </row>
    <row r="74">
      <c r="A74" s="128" t="n"/>
    </row>
    <row r="75">
      <c r="A75" s="128" t="n"/>
    </row>
    <row r="76">
      <c r="A76" s="128" t="n"/>
    </row>
    <row r="77">
      <c r="A77" s="128" t="n"/>
    </row>
    <row r="78">
      <c r="A78" s="128" t="n"/>
    </row>
    <row r="79">
      <c r="A79" s="128" t="n"/>
    </row>
    <row r="80">
      <c r="A80" s="128" t="n"/>
    </row>
    <row r="81">
      <c r="A81" s="128" t="n"/>
    </row>
    <row r="82">
      <c r="A82" s="128" t="n"/>
    </row>
    <row r="83">
      <c r="A83" s="128" t="n"/>
    </row>
    <row r="84">
      <c r="A84" s="128" t="n"/>
    </row>
    <row r="85">
      <c r="A85" s="128" t="n"/>
    </row>
    <row r="86">
      <c r="A86" s="128" t="n"/>
    </row>
    <row r="87">
      <c r="A87" s="128" t="n"/>
    </row>
    <row r="88">
      <c r="A88" s="128" t="n"/>
    </row>
    <row r="89">
      <c r="A89" s="128" t="n"/>
    </row>
    <row r="90">
      <c r="A90" s="128" t="n"/>
    </row>
    <row r="91">
      <c r="A91" s="128" t="n"/>
    </row>
    <row r="92">
      <c r="A92" s="128" t="n"/>
    </row>
    <row r="93">
      <c r="A93" s="128" t="n"/>
    </row>
    <row r="94">
      <c r="A94" s="128" t="n"/>
    </row>
    <row r="95">
      <c r="A95" s="128" t="n"/>
    </row>
    <row r="96">
      <c r="A96" s="128" t="n"/>
    </row>
    <row r="97">
      <c r="A97" s="128" t="n"/>
    </row>
    <row r="98">
      <c r="A98" s="128" t="n"/>
    </row>
    <row r="99">
      <c r="A99" s="128" t="n"/>
    </row>
    <row r="100">
      <c r="A100" s="128" t="n"/>
    </row>
    <row r="101">
      <c r="A101" s="128" t="n"/>
    </row>
    <row r="102">
      <c r="A102" s="128" t="n"/>
    </row>
    <row r="103">
      <c r="A103" s="128" t="n"/>
    </row>
    <row r="104">
      <c r="A104" s="128" t="n"/>
    </row>
    <row r="105">
      <c r="A105" s="128" t="n"/>
    </row>
    <row r="106">
      <c r="A106" s="128" t="n"/>
    </row>
    <row r="107">
      <c r="A107" s="128" t="n"/>
    </row>
    <row r="108">
      <c r="A108" s="128" t="n"/>
    </row>
    <row r="109">
      <c r="A109" s="128" t="n"/>
    </row>
    <row r="110">
      <c r="A110" s="128" t="n"/>
    </row>
    <row r="111">
      <c r="A111" s="128" t="n"/>
    </row>
    <row r="112">
      <c r="A112" s="128" t="n"/>
    </row>
    <row r="113">
      <c r="A113" s="128" t="n"/>
    </row>
    <row r="114">
      <c r="A114" s="128" t="n"/>
    </row>
    <row r="115">
      <c r="A115" s="128" t="n"/>
    </row>
    <row r="116">
      <c r="A116" s="128" t="n"/>
    </row>
    <row r="117">
      <c r="A117" s="128" t="n"/>
    </row>
    <row r="118">
      <c r="A118" s="128" t="n"/>
    </row>
    <row r="119">
      <c r="A119" s="128" t="n"/>
    </row>
    <row r="120">
      <c r="A120" s="128" t="n"/>
    </row>
    <row r="121">
      <c r="A121" s="128" t="n"/>
    </row>
    <row r="122">
      <c r="A122" s="128" t="n"/>
    </row>
    <row r="123">
      <c r="A123" s="128" t="n"/>
    </row>
    <row r="124">
      <c r="A124" s="128" t="n"/>
    </row>
    <row r="125">
      <c r="A125" s="128" t="n"/>
    </row>
    <row r="126">
      <c r="A126" s="128" t="n"/>
    </row>
    <row r="127">
      <c r="A127" s="128" t="n"/>
    </row>
    <row r="128">
      <c r="A128" s="128" t="n"/>
    </row>
    <row r="129">
      <c r="A129" s="128" t="n"/>
    </row>
    <row r="130">
      <c r="A130" s="128" t="n"/>
    </row>
    <row r="131">
      <c r="A131" s="128" t="n"/>
    </row>
    <row r="132">
      <c r="A132" s="128" t="n"/>
    </row>
    <row r="133">
      <c r="A133" s="128" t="n"/>
    </row>
    <row r="134">
      <c r="A134" s="128" t="n"/>
    </row>
    <row r="135">
      <c r="A135" s="128" t="n"/>
    </row>
    <row r="136">
      <c r="A136" s="128" t="n"/>
    </row>
    <row r="137">
      <c r="A137" s="128" t="n"/>
    </row>
    <row r="138">
      <c r="A138" s="128" t="n"/>
    </row>
    <row r="139">
      <c r="A139" s="128" t="n"/>
    </row>
    <row r="140">
      <c r="A140" s="128" t="n"/>
    </row>
    <row r="141">
      <c r="A141" s="128" t="n"/>
    </row>
    <row r="142">
      <c r="A142" s="128" t="n"/>
    </row>
    <row r="143">
      <c r="A143" s="128" t="n"/>
    </row>
    <row r="144">
      <c r="A144" s="128" t="n"/>
    </row>
    <row r="145">
      <c r="A145" s="128" t="n"/>
    </row>
    <row r="146">
      <c r="A146" s="128" t="n"/>
    </row>
    <row r="147">
      <c r="A147" s="128" t="n"/>
    </row>
    <row r="148">
      <c r="A148" s="128" t="n"/>
    </row>
    <row r="149">
      <c r="A149" s="128" t="n"/>
    </row>
    <row r="150">
      <c r="A150" s="128" t="n"/>
    </row>
    <row r="151">
      <c r="A151" s="128" t="n"/>
    </row>
    <row r="152">
      <c r="A152" s="128" t="n"/>
    </row>
    <row r="153">
      <c r="A153" s="128" t="n"/>
    </row>
    <row r="154">
      <c r="A154" s="128" t="n"/>
    </row>
    <row r="155">
      <c r="A155" s="128" t="n"/>
    </row>
    <row r="156">
      <c r="A156" s="128" t="n"/>
    </row>
    <row r="157">
      <c r="A157" s="128" t="n"/>
    </row>
    <row r="158">
      <c r="A158" s="128" t="n"/>
    </row>
    <row r="159">
      <c r="A159" s="128" t="n"/>
    </row>
    <row r="160">
      <c r="A160" s="128" t="n"/>
    </row>
    <row r="161">
      <c r="A161" s="128" t="n"/>
    </row>
    <row r="162">
      <c r="A162" s="128" t="n"/>
    </row>
    <row r="163">
      <c r="A163" s="128" t="n"/>
    </row>
    <row r="164">
      <c r="A164" s="128" t="n"/>
    </row>
    <row r="165">
      <c r="A165" s="128" t="n"/>
    </row>
    <row r="166">
      <c r="A166" s="128" t="n"/>
    </row>
    <row r="167">
      <c r="A167" s="128" t="n"/>
    </row>
    <row r="168">
      <c r="A168" s="128" t="n"/>
    </row>
    <row r="169">
      <c r="A169" s="128" t="n"/>
    </row>
    <row r="170">
      <c r="A170" s="128" t="n"/>
    </row>
    <row r="171">
      <c r="A171" s="128" t="n"/>
    </row>
    <row r="172">
      <c r="A172" s="128" t="n"/>
    </row>
    <row r="173">
      <c r="A173" s="128" t="n"/>
    </row>
    <row r="174">
      <c r="A174" s="128" t="n"/>
    </row>
    <row r="175">
      <c r="A175" s="128" t="n"/>
    </row>
    <row r="176">
      <c r="A176" s="128" t="n"/>
    </row>
    <row r="177">
      <c r="A177" s="128" t="n"/>
    </row>
    <row r="178">
      <c r="A178" s="128" t="n"/>
    </row>
    <row r="179">
      <c r="A179" s="128" t="n"/>
    </row>
    <row r="180">
      <c r="A180" s="128" t="n"/>
    </row>
    <row r="181">
      <c r="A181" s="128" t="n"/>
    </row>
    <row r="182">
      <c r="A182" s="128" t="n"/>
    </row>
    <row r="183">
      <c r="A183" s="128" t="n"/>
    </row>
    <row r="184">
      <c r="A184" s="128" t="n"/>
    </row>
    <row r="185">
      <c r="A185" s="128" t="n"/>
    </row>
    <row r="186">
      <c r="A186" s="128" t="n"/>
    </row>
    <row r="187">
      <c r="A187" s="128" t="n"/>
    </row>
    <row r="188">
      <c r="A188" s="128" t="n"/>
    </row>
    <row r="189">
      <c r="A189" s="128" t="n"/>
    </row>
    <row r="190">
      <c r="A190" s="128" t="n"/>
    </row>
    <row r="191">
      <c r="A191" s="128" t="n"/>
    </row>
    <row r="192">
      <c r="A192" s="128" t="n"/>
    </row>
    <row r="193">
      <c r="A193" s="128" t="n"/>
    </row>
    <row r="194">
      <c r="A194" s="128" t="n"/>
    </row>
    <row r="195">
      <c r="A195" s="128" t="n"/>
    </row>
    <row r="196">
      <c r="A196" s="128" t="n"/>
    </row>
    <row r="197">
      <c r="A197" s="128" t="n"/>
    </row>
    <row r="198">
      <c r="A198" s="128" t="n"/>
    </row>
    <row r="199">
      <c r="A199" s="128" t="n"/>
    </row>
    <row r="200">
      <c r="A200" s="128" t="n"/>
    </row>
  </sheetData>
  <mergeCells count="5">
    <mergeCell ref="A17:H20"/>
    <mergeCell ref="A2:H2"/>
    <mergeCell ref="A16:H16"/>
    <mergeCell ref="A1:H1"/>
    <mergeCell ref="D4:H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selection activeCell="A1" sqref="A1"/>
    </sheetView>
  </sheetViews>
  <sheetFormatPr baseColWidth="8" defaultRowHeight="15"/>
  <cols>
    <col width="8" customWidth="1" style="136" min="1" max="1"/>
    <col width="42" customWidth="1" style="136" min="2" max="2"/>
    <col width="30" customWidth="1" style="136" min="3" max="3"/>
    <col width="30" customWidth="1" style="136" min="4" max="4"/>
    <col width="28" customWidth="1" style="136" min="5" max="5"/>
    <col width="28" customWidth="1" style="136" min="6" max="6"/>
    <col width="24" customWidth="1" style="136" min="7" max="7"/>
    <col width="30" customWidth="1" style="136" min="8" max="8"/>
    <col width="30" customWidth="1" style="136" min="9" max="9"/>
    <col width="14" customWidth="1" style="136" min="10" max="10"/>
    <col width="16" customWidth="1" style="136" min="11" max="11"/>
    <col width="28" customWidth="1" style="136" min="12" max="12"/>
  </cols>
  <sheetData>
    <row r="1" ht="28" customHeight="1" s="136">
      <c r="A1" s="21" t="inlineStr">
        <is>
          <t>Objetivos Específicos SMART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28" t="n"/>
    </row>
    <row r="3">
      <c r="A3" s="6" t="inlineStr">
        <is>
          <t>ID</t>
        </is>
      </c>
      <c r="B3" s="6" t="inlineStr">
        <is>
          <t>Objetivo específico</t>
        </is>
      </c>
      <c r="C3" s="6" t="inlineStr">
        <is>
          <t>Specific</t>
        </is>
      </c>
      <c r="D3" s="6" t="inlineStr">
        <is>
          <t>Measurable</t>
        </is>
      </c>
      <c r="E3" s="6" t="inlineStr">
        <is>
          <t>Achievable</t>
        </is>
      </c>
      <c r="F3" s="6" t="inlineStr">
        <is>
          <t>Relevant</t>
        </is>
      </c>
      <c r="G3" s="6" t="inlineStr">
        <is>
          <t>Time-bound</t>
        </is>
      </c>
      <c r="H3" s="6" t="inlineStr">
        <is>
          <t>Indicador</t>
        </is>
      </c>
      <c r="I3" s="6" t="inlineStr">
        <is>
          <t>Meta</t>
        </is>
      </c>
      <c r="J3" s="6" t="inlineStr">
        <is>
          <t>Fecha límite</t>
        </is>
      </c>
      <c r="K3" s="6" t="inlineStr">
        <is>
          <t>Estado</t>
        </is>
      </c>
      <c r="L3" s="6" t="inlineStr">
        <is>
          <t>Observaciones</t>
        </is>
      </c>
    </row>
    <row r="4">
      <c r="A4" s="130" t="inlineStr">
        <is>
          <t>OE1</t>
        </is>
      </c>
      <c r="B4" s="12" t="inlineStr">
        <is>
          <t>Analizar antes del 2 de octubre de 2026 la arquitectura, API, dependencias e interacción de OpenStack Placement y Glance con los demás componentes necesarios para definir reimplementaciones compatibles.</t>
        </is>
      </c>
      <c r="C4" s="12" t="inlineStr">
        <is>
          <t>Analizar arquitectura, API, dependencias y flujos de Placement y Glance.</t>
        </is>
      </c>
      <c r="D4" s="12" t="inlineStr">
        <is>
          <t>Identificar y documentar el 100 % de los endpoints, dependencias y flujos críticos definidos para el alcance.</t>
        </is>
      </c>
      <c r="E4" s="12" t="inlineStr">
        <is>
          <t>El análisis se realiza sobre documentación, código y un entorno OpenStack de pruebas.</t>
        </is>
      </c>
      <c r="F4" s="12" t="inlineStr">
        <is>
          <t>Permite definir una reimplementación compatible con el ecosistema OpenStack.</t>
        </is>
      </c>
      <c r="G4" s="12" t="inlineStr">
        <is>
          <t>Debe completarse antes del 02/10/2026.</t>
        </is>
      </c>
      <c r="H4" s="12" t="inlineStr">
        <is>
          <t>Porcentaje de endpoints, dependencias y flujos críticos de Placement y Glance identificados.</t>
        </is>
      </c>
      <c r="I4" s="12" t="inlineStr">
        <is>
          <t>100 % de los componentes definidos como necesarios para el alcance.</t>
        </is>
      </c>
      <c r="J4" s="138" t="n">
        <v>46297</v>
      </c>
      <c r="K4" s="12" t="inlineStr">
        <is>
          <t>En progreso</t>
        </is>
      </c>
      <c r="L4" s="12" t="inlineStr">
        <is>
          <t>Diseño upstream documentado; faltan trazas y baseline reales.</t>
        </is>
      </c>
    </row>
    <row r="5">
      <c r="A5" s="130" t="inlineStr">
        <is>
          <t>OE2</t>
        </is>
      </c>
      <c r="B5" s="12" t="inlineStr">
        <is>
          <t>Construir y documentar antes del 2 de octubre de 2026 un entorno OpenStack reproducible de un nodo que permita ejecutar pruebas funcionales y obtener una línea base del servicio original.</t>
        </is>
      </c>
      <c r="C5" s="12" t="inlineStr">
        <is>
          <t>Desplegar OpenStack de un nodo y documentar su reproducción.</t>
        </is>
      </c>
      <c r="D5" s="12" t="inlineStr">
        <is>
          <t>Ejecutar correctamente el 100 % de los smoke tests críticos definidos.</t>
        </is>
      </c>
      <c r="E5" s="12" t="inlineStr">
        <is>
          <t>DevStack permite desplegar un entorno de desarrollo de un nodo con el alcance requerido.</t>
        </is>
      </c>
      <c r="F5" s="12" t="inlineStr">
        <is>
          <t>Entrega la línea base necesaria para comparar la implementación original y la nueva.</t>
        </is>
      </c>
      <c r="G5" s="12" t="inlineStr">
        <is>
          <t>Debe completarse antes del 02/10/2026.</t>
        </is>
      </c>
      <c r="H5" s="12" t="inlineStr">
        <is>
          <t>Porcentaje de pruebas de instalación y smoke tests ejecutados correctamente.</t>
        </is>
      </c>
      <c r="I5" s="12" t="inlineStr">
        <is>
          <t>100 % de las pruebas críticas definidas.</t>
        </is>
      </c>
      <c r="J5" s="138" t="n">
        <v>46297</v>
      </c>
      <c r="K5" s="12" t="inlineStr">
        <is>
          <t>Bloqueado</t>
        </is>
      </c>
      <c r="L5" s="12" t="inlineStr">
        <is>
          <t>No hay DevStack instalado; host no dedicado. Ver docs/sprint2/BLOCKERS.md.</t>
        </is>
      </c>
    </row>
    <row r="6">
      <c r="A6" s="130" t="inlineStr">
        <is>
          <t>OE3</t>
        </is>
      </c>
      <c r="B6" s="12" t="inlineStr">
        <is>
          <t>Diseñar e implementar progresivamente versiones compatibles de OpenStack Placement y Glance utilizando Go, cubriendo las funcionalidades priorizadas de ambos servicios según el análisis de requerimientos.</t>
        </is>
      </c>
      <c r="C6" s="12" t="inlineStr">
        <is>
          <t>Reimplementar las funcionalidades priorizadas de Placement y Glance en Go.</t>
        </is>
      </c>
      <c r="D6" s="12" t="inlineStr">
        <is>
          <t>Medir el porcentaje de funcionalidades Must implementadas y aprobadas.</t>
        </is>
      </c>
      <c r="E6" s="12" t="inlineStr">
        <is>
          <t>Se limita el alcance a funcionalidades priorizadas y a un laboratorio de un nodo.</t>
        </is>
      </c>
      <c r="F6" s="12" t="inlineStr">
        <is>
          <t>Constituye la intervención técnica principal del proyecto.</t>
        </is>
      </c>
      <c r="G6" s="12" t="inlineStr">
        <is>
          <t>Las funcionalidades principales deben estar implementadas al 30/10/2026.</t>
        </is>
      </c>
      <c r="H6" s="12" t="inlineStr">
        <is>
          <t>Porcentaje de funcionalidades priorizadas implementadas y aprobadas.</t>
        </is>
      </c>
      <c r="I6" s="12" t="inlineStr">
        <is>
          <t>100 % de funcionalidades Must del alcance definido para Placement y Glance.</t>
        </is>
      </c>
      <c r="J6" s="138" t="n">
        <v>46325</v>
      </c>
      <c r="K6" s="12" t="inlineStr">
        <is>
          <t>Pendiente</t>
        </is>
      </c>
      <c r="L6" s="12" t="str"/>
    </row>
    <row r="7">
      <c r="A7" s="130" t="inlineStr">
        <is>
          <t>OE4</t>
        </is>
      </c>
      <c r="B7" s="12" t="inlineStr">
        <is>
          <t>Integrar las reimplementaciones con el entorno OpenStack de prueba y validar su compatibilidad mediante operaciones reales, incluyendo la creación de instancias, gestión de recursos y uso de imágenes.</t>
        </is>
      </c>
      <c r="C7" s="12" t="inlineStr">
        <is>
          <t>Sustituir Placement y Glance e integrarlos con OpenStack para operaciones reales.</t>
        </is>
      </c>
      <c r="D7" s="12" t="inlineStr">
        <is>
          <t>Ejecutar correctamente el 100 % de los casos críticos de integración definidos.</t>
        </is>
      </c>
      <c r="E7" s="12" t="inlineStr">
        <is>
          <t>La validación se realizará en el entorno OpenStack de un nodo del proyecto, con alcance funcional acotado.</t>
        </is>
      </c>
      <c r="F7" s="12" t="inlineStr">
        <is>
          <t>Demuestra que la reimplementación puede sustituir funcionalmente al servicio original en el alcance definido.</t>
        </is>
      </c>
      <c r="G7" s="12" t="inlineStr">
        <is>
          <t>Debe completarse antes del 20/11/2026.</t>
        </is>
      </c>
      <c r="H7" s="12" t="inlineStr">
        <is>
          <t>Porcentaje de casos de integración ejecutados correctamente.</t>
        </is>
      </c>
      <c r="I7" s="12" t="inlineStr">
        <is>
          <t>100 % de los casos críticos.</t>
        </is>
      </c>
      <c r="J7" s="138" t="n">
        <v>46346</v>
      </c>
      <c r="K7" s="12" t="inlineStr">
        <is>
          <t>Pendiente</t>
        </is>
      </c>
      <c r="L7" s="12" t="str"/>
    </row>
    <row r="8">
      <c r="A8" s="130" t="inlineStr">
        <is>
          <t>OE5</t>
        </is>
      </c>
      <c r="B8" s="12" t="inlineStr">
        <is>
          <t>Comparar antes del 4 de diciembre de 2026 la implementación original y la reimplementación mediante métricas de rendimiento, consumo de CPU, memoria, latencia y comportamiento funcional.</t>
        </is>
      </c>
      <c r="C8" s="12" t="inlineStr">
        <is>
          <t>Comparar experimentalmente ambas implementaciones con métricas definidas.</t>
        </is>
      </c>
      <c r="D8" s="12" t="inlineStr">
        <is>
          <t>Obtener el 100 % del conjunto de métricas experimentales definido.</t>
        </is>
      </c>
      <c r="E8" s="12" t="inlineStr">
        <is>
          <t>Las métricas se obtendrán en un entorno controlado y reproducible.</t>
        </is>
      </c>
      <c r="F8" s="12" t="inlineStr">
        <is>
          <t>Permite determinar cuantitativamente beneficios, costos y limitaciones de la reimplementación.</t>
        </is>
      </c>
      <c r="G8" s="12" t="inlineStr">
        <is>
          <t>Debe completarse antes del 04/12/2026.</t>
        </is>
      </c>
      <c r="H8" s="12" t="inlineStr">
        <is>
          <t>Porcentaje de métricas comparativas obtenidas.</t>
        </is>
      </c>
      <c r="I8" s="12" t="inlineStr">
        <is>
          <t>100 % del conjunto experimental definido.</t>
        </is>
      </c>
      <c r="J8" s="138" t="n">
        <v>46360</v>
      </c>
      <c r="K8" s="12" t="inlineStr">
        <is>
          <t>Pendiente</t>
        </is>
      </c>
      <c r="L8" s="12" t="str"/>
    </row>
    <row r="9">
      <c r="A9" s="130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</row>
    <row r="10">
      <c r="A10" s="130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30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</row>
    <row r="12">
      <c r="A12" s="130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30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</row>
    <row r="14">
      <c r="A14" s="130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30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>
      <c r="A16" s="130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30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</row>
    <row r="18">
      <c r="A18" s="130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30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</row>
    <row r="20">
      <c r="A20" s="130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30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</row>
    <row r="22">
      <c r="A22" s="130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30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>
      <c r="A24" s="130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5">
      <c r="A25" s="130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</row>
    <row r="26">
      <c r="A26" s="130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</row>
    <row r="27">
      <c r="A27" s="130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>
      <c r="A28" s="130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>
      <c r="A29" s="130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>
      <c r="A30" s="130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1">
      <c r="A31" s="130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</row>
    <row r="32">
      <c r="A32" s="130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</row>
    <row r="33">
      <c r="A33" s="130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</row>
    <row r="34">
      <c r="A34" s="130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</row>
    <row r="35">
      <c r="A35" s="130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</row>
    <row r="36">
      <c r="A36" s="130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</row>
    <row r="37">
      <c r="A37" s="130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</row>
    <row r="38">
      <c r="A38" s="130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</row>
    <row r="39">
      <c r="A39" s="130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</row>
    <row r="40">
      <c r="A40" s="130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</row>
    <row r="41">
      <c r="A41" s="130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</row>
    <row r="42">
      <c r="A42" s="130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</row>
    <row r="43">
      <c r="A43" s="130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</row>
    <row r="44">
      <c r="A44" s="130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</row>
    <row r="45">
      <c r="A45" s="130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</row>
    <row r="46">
      <c r="A46" s="130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</row>
    <row r="47">
      <c r="A47" s="130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</row>
    <row r="48">
      <c r="A48" s="130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</row>
    <row r="49">
      <c r="A49" s="130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</row>
    <row r="50">
      <c r="A50" s="130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</row>
    <row r="51">
      <c r="A51" s="130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</row>
    <row r="52">
      <c r="A52" s="130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</row>
    <row r="53">
      <c r="A53" s="130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</row>
    <row r="54">
      <c r="A54" s="130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</row>
    <row r="55">
      <c r="A55" s="130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</row>
    <row r="56">
      <c r="A56" s="130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</row>
    <row r="57">
      <c r="A57" s="130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</row>
    <row r="58">
      <c r="A58" s="130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</row>
    <row r="59">
      <c r="A59" s="130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</row>
    <row r="60">
      <c r="A60" s="130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</row>
    <row r="61">
      <c r="A61" s="130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</row>
    <row r="62">
      <c r="A62" s="130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</row>
    <row r="63">
      <c r="A63" s="130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</row>
    <row r="64">
      <c r="A64" s="130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</row>
    <row r="65">
      <c r="A65" s="130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</row>
    <row r="66">
      <c r="A66" s="130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</row>
    <row r="67">
      <c r="A67" s="130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</row>
    <row r="68">
      <c r="A68" s="130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</row>
    <row r="69">
      <c r="A69" s="130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</row>
    <row r="70">
      <c r="A70" s="130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</row>
    <row r="71">
      <c r="A71" s="130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</row>
    <row r="72">
      <c r="A72" s="130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</row>
    <row r="73">
      <c r="A73" s="130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</row>
    <row r="74">
      <c r="A74" s="130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</row>
    <row r="75">
      <c r="A75" s="130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</row>
    <row r="76">
      <c r="A76" s="130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</row>
    <row r="77">
      <c r="A77" s="130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</row>
    <row r="78">
      <c r="A78" s="130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</row>
    <row r="79">
      <c r="A79" s="130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</row>
    <row r="80">
      <c r="A80" s="130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</row>
    <row r="81">
      <c r="A81" s="130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</row>
    <row r="82">
      <c r="A82" s="130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</row>
    <row r="83">
      <c r="A83" s="130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</row>
    <row r="84">
      <c r="A84" s="130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</row>
    <row r="85">
      <c r="A85" s="130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</row>
    <row r="86">
      <c r="A86" s="130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</row>
    <row r="87">
      <c r="A87" s="130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</row>
    <row r="88">
      <c r="A88" s="130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</row>
    <row r="89">
      <c r="A89" s="130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</row>
    <row r="90">
      <c r="A90" s="130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</row>
    <row r="91">
      <c r="A91" s="130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</row>
    <row r="92">
      <c r="A92" s="130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</row>
    <row r="93">
      <c r="A93" s="130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</row>
    <row r="94">
      <c r="A94" s="130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</row>
    <row r="95">
      <c r="A95" s="130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</row>
    <row r="96">
      <c r="A96" s="130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</row>
    <row r="97">
      <c r="A97" s="130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</row>
    <row r="98">
      <c r="A98" s="130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</row>
    <row r="99">
      <c r="A99" s="130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</row>
    <row r="100">
      <c r="A100" s="130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</row>
    <row r="101">
      <c r="A101" s="130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</row>
    <row r="102">
      <c r="A102" s="130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</row>
    <row r="103">
      <c r="A103" s="130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</row>
    <row r="104">
      <c r="A104" s="130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</row>
    <row r="105">
      <c r="A105" s="130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</row>
    <row r="106">
      <c r="A106" s="130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</row>
    <row r="107">
      <c r="A107" s="130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</row>
    <row r="108">
      <c r="A108" s="130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</row>
    <row r="109">
      <c r="A109" s="130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</row>
    <row r="110">
      <c r="A110" s="130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</row>
    <row r="111">
      <c r="A111" s="130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</row>
    <row r="112">
      <c r="A112" s="130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</row>
    <row r="113">
      <c r="A113" s="130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</row>
    <row r="114">
      <c r="A114" s="130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</row>
    <row r="115">
      <c r="A115" s="130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</row>
    <row r="116">
      <c r="A116" s="130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</row>
    <row r="117">
      <c r="A117" s="130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</row>
    <row r="118">
      <c r="A118" s="130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</row>
    <row r="119">
      <c r="A119" s="130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</row>
    <row r="120">
      <c r="A120" s="130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</row>
    <row r="121">
      <c r="A121" s="130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</row>
    <row r="122">
      <c r="A122" s="130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</row>
    <row r="123">
      <c r="A123" s="130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</row>
    <row r="124">
      <c r="A124" s="130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</row>
    <row r="125">
      <c r="A125" s="130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</row>
    <row r="126">
      <c r="A126" s="130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</row>
    <row r="127">
      <c r="A127" s="130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</row>
    <row r="128">
      <c r="A128" s="130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</row>
    <row r="129">
      <c r="A129" s="130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</row>
    <row r="130">
      <c r="A130" s="130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</row>
    <row r="131">
      <c r="A131" s="130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</row>
    <row r="132">
      <c r="A132" s="130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</row>
    <row r="133">
      <c r="A133" s="130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</row>
    <row r="134">
      <c r="A134" s="130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</row>
    <row r="135">
      <c r="A135" s="130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</row>
    <row r="136">
      <c r="A136" s="130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</row>
    <row r="137">
      <c r="A137" s="130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</row>
    <row r="138">
      <c r="A138" s="130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</row>
    <row r="139">
      <c r="A139" s="130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</row>
    <row r="140">
      <c r="A140" s="130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</row>
    <row r="141">
      <c r="A141" s="130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</row>
    <row r="142">
      <c r="A142" s="130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</row>
    <row r="143">
      <c r="A143" s="130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</row>
    <row r="144">
      <c r="A144" s="130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</row>
    <row r="145">
      <c r="A145" s="130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</row>
    <row r="146">
      <c r="A146" s="130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</row>
    <row r="147">
      <c r="A147" s="130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</row>
    <row r="148">
      <c r="A148" s="130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</row>
    <row r="149">
      <c r="A149" s="130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</row>
    <row r="150">
      <c r="A150" s="130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</row>
    <row r="151">
      <c r="A151" s="130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</row>
    <row r="152">
      <c r="A152" s="130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</row>
    <row r="153">
      <c r="A153" s="130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</row>
    <row r="154">
      <c r="A154" s="130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</row>
    <row r="155">
      <c r="A155" s="130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</row>
    <row r="156">
      <c r="A156" s="130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</row>
    <row r="157">
      <c r="A157" s="130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</row>
    <row r="158">
      <c r="A158" s="130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</row>
    <row r="159">
      <c r="A159" s="130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</row>
    <row r="160">
      <c r="A160" s="130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</row>
    <row r="161">
      <c r="A161" s="130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</row>
    <row r="162">
      <c r="A162" s="130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</row>
    <row r="163">
      <c r="A163" s="130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</row>
    <row r="164">
      <c r="A164" s="130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</row>
    <row r="165">
      <c r="A165" s="130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</row>
    <row r="166">
      <c r="A166" s="130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</row>
    <row r="167">
      <c r="A167" s="130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</row>
    <row r="168">
      <c r="A168" s="130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</row>
    <row r="169">
      <c r="A169" s="130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</row>
    <row r="170">
      <c r="A170" s="130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</row>
    <row r="171">
      <c r="A171" s="130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</row>
    <row r="172">
      <c r="A172" s="130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</row>
    <row r="173">
      <c r="A173" s="130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</row>
    <row r="174">
      <c r="A174" s="130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</row>
    <row r="175">
      <c r="A175" s="130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</row>
    <row r="176">
      <c r="A176" s="130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</row>
    <row r="177">
      <c r="A177" s="130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</row>
    <row r="178">
      <c r="A178" s="130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</row>
    <row r="179">
      <c r="A179" s="130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</row>
    <row r="180">
      <c r="A180" s="130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</row>
    <row r="181">
      <c r="A181" s="130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</row>
    <row r="182">
      <c r="A182" s="130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</row>
    <row r="183">
      <c r="A183" s="130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</row>
    <row r="184">
      <c r="A184" s="130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</row>
    <row r="185">
      <c r="A185" s="130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</row>
    <row r="186">
      <c r="A186" s="130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</row>
    <row r="187">
      <c r="A187" s="130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</row>
    <row r="188">
      <c r="A188" s="130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</row>
    <row r="189">
      <c r="A189" s="130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</row>
    <row r="190">
      <c r="A190" s="130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</row>
    <row r="191">
      <c r="A191" s="130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</row>
    <row r="192">
      <c r="A192" s="130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</row>
    <row r="193">
      <c r="A193" s="130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</row>
    <row r="194">
      <c r="A194" s="130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</row>
    <row r="195">
      <c r="A195" s="130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</row>
    <row r="196">
      <c r="A196" s="130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</row>
    <row r="197">
      <c r="A197" s="130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</row>
    <row r="198">
      <c r="A198" s="130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</row>
    <row r="199">
      <c r="A199" s="130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</row>
    <row r="200">
      <c r="A200" s="130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</row>
  </sheetData>
  <mergeCells count="1">
    <mergeCell ref="A1:L1"/>
  </mergeCells>
  <conditionalFormatting sqref="K4:K200">
    <cfRule type="expression" priority="1" dxfId="0">
      <formula>K4="Cumplido"</formula>
    </cfRule>
    <cfRule type="expression" priority="2" dxfId="1">
      <formula>K4="En progreso"</formula>
    </cfRule>
    <cfRule type="expression" priority="3" dxfId="2">
      <formula>K4="Bloqueado"</formula>
    </cfRule>
    <cfRule type="expression" priority="4" dxfId="3">
      <formula>K4="Pendiente"</formula>
    </cfRule>
  </conditionalFormatting>
  <dataValidations count="1">
    <dataValidation sqref="K4:K200" showDropDown="0" showInputMessage="0" showErrorMessage="0" allowBlank="0" type="list">
      <formula1>Listas!$F$2:$F$5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selection activeCell="A1" sqref="A1"/>
    </sheetView>
  </sheetViews>
  <sheetFormatPr baseColWidth="8" defaultRowHeight="15"/>
  <cols>
    <col width="9" customWidth="1" style="136" min="1" max="1"/>
    <col width="14" customWidth="1" style="136" min="2" max="2"/>
    <col width="24" customWidth="1" style="136" min="3" max="3"/>
    <col width="38" customWidth="1" style="136" min="4" max="4"/>
    <col width="34" customWidth="1" style="136" min="5" max="5"/>
    <col width="26" customWidth="1" style="136" min="6" max="6"/>
    <col width="20" customWidth="1" style="136" min="7" max="7"/>
    <col width="12" customWidth="1" style="136" min="8" max="8"/>
    <col width="38" customWidth="1" style="136" min="9" max="9"/>
    <col width="28" customWidth="1" style="136" min="10" max="10"/>
    <col width="16" customWidth="1" style="136" min="11" max="11"/>
    <col width="16" customWidth="1" style="136" min="12" max="12"/>
    <col width="30" customWidth="1" style="136" min="13" max="13"/>
  </cols>
  <sheetData>
    <row r="1" ht="28" customHeight="1" s="136">
      <c r="A1" s="21" t="inlineStr">
        <is>
          <t>Análisis de Requerimientos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28" t="n"/>
    </row>
    <row r="3">
      <c r="A3" s="6" t="inlineStr">
        <is>
          <t>ID</t>
        </is>
      </c>
      <c r="B3" s="6" t="inlineStr">
        <is>
          <t>Tipo</t>
        </is>
      </c>
      <c r="C3" s="6" t="inlineStr">
        <is>
          <t>Nombre</t>
        </is>
      </c>
      <c r="D3" s="6" t="inlineStr">
        <is>
          <t>Descripción</t>
        </is>
      </c>
      <c r="E3" s="6" t="inlineStr">
        <is>
          <t>Justificación</t>
        </is>
      </c>
      <c r="F3" s="6" t="inlineStr">
        <is>
          <t>Fuente</t>
        </is>
      </c>
      <c r="G3" s="6" t="inlineStr">
        <is>
          <t>Objetivo relacionado</t>
        </is>
      </c>
      <c r="H3" s="6" t="inlineStr">
        <is>
          <t>Prioridad</t>
        </is>
      </c>
      <c r="I3" s="6" t="inlineStr">
        <is>
          <t>Criterio de aceptación</t>
        </is>
      </c>
      <c r="J3" s="6" t="inlineStr">
        <is>
          <t>Método de verificación</t>
        </is>
      </c>
      <c r="K3" s="6" t="inlineStr">
        <is>
          <t>Estado</t>
        </is>
      </c>
      <c r="L3" s="6" t="inlineStr">
        <is>
          <t>Responsable</t>
        </is>
      </c>
      <c r="M3" s="6" t="inlineStr">
        <is>
          <t>Observaciones</t>
        </is>
      </c>
    </row>
    <row r="4">
      <c r="A4" s="130" t="inlineStr">
        <is>
          <t>RF01</t>
        </is>
      </c>
      <c r="B4" s="12" t="inlineStr">
        <is>
          <t>Funcional</t>
        </is>
      </c>
      <c r="C4" s="12" t="inlineStr">
        <is>
          <t>Entorno OpenStack reproducible</t>
        </is>
      </c>
      <c r="D4" s="12" t="inlineStr">
        <is>
          <t>Disponer de un entorno OpenStack de un nodo reproducible que permita ejecutar el servicio original y las reimplementaciones.</t>
        </is>
      </c>
      <c r="E4" s="12" t="inlineStr">
        <is>
          <t>Permite disponer de una línea base controlada y repetir las pruebas.</t>
        </is>
      </c>
      <c r="F4" s="12" t="inlineStr">
        <is>
          <t>Propietario del proyecto / diseño experimental</t>
        </is>
      </c>
      <c r="G4" s="12" t="inlineStr">
        <is>
          <t>OE2, OE4</t>
        </is>
      </c>
      <c r="H4" s="12" t="inlineStr">
        <is>
          <t>Must</t>
        </is>
      </c>
      <c r="I4" s="12" t="inlineStr">
        <is>
          <t>OpenStack ejecuta correctamente las operaciones críticas definidas.</t>
        </is>
      </c>
      <c r="J4" s="12" t="inlineStr">
        <is>
          <t>Smoke tests y checklist de instalación.</t>
        </is>
      </c>
      <c r="K4" s="12" t="inlineStr">
        <is>
          <t>Aprobado</t>
        </is>
      </c>
      <c r="L4" s="12" t="inlineStr">
        <is>
          <t>Ambos</t>
        </is>
      </c>
      <c r="M4" s="12" t="str"/>
    </row>
    <row r="5">
      <c r="A5" s="130" t="inlineStr">
        <is>
          <t>RF02</t>
        </is>
      </c>
      <c r="B5" s="12" t="inlineStr">
        <is>
          <t>Funcional</t>
        </is>
      </c>
      <c r="C5" s="12" t="inlineStr">
        <is>
          <t>Compatibilidad de API Placement</t>
        </is>
      </c>
      <c r="D5" s="12" t="inlineStr">
        <is>
          <t>La reimplementación debe soportar las rutas y microversiones de la API de Placement consideradas dentro del alcance.</t>
        </is>
      </c>
      <c r="E5" s="12" t="inlineStr">
        <is>
          <t>La compatibilidad de API es necesaria para sustituir el servicio sin alterar consumidores.</t>
        </is>
      </c>
      <c r="F5" s="12" t="inlineStr">
        <is>
          <t>Documentación oficial OpenStack Placement</t>
        </is>
      </c>
      <c r="G5" s="12" t="inlineStr">
        <is>
          <t>OE1, OE3, OE4</t>
        </is>
      </c>
      <c r="H5" s="12" t="inlineStr">
        <is>
          <t>Must</t>
        </is>
      </c>
      <c r="I5" s="12" t="inlineStr">
        <is>
          <t>Las rutas y microversiones seleccionadas responden de forma compatible con la línea base.</t>
        </is>
      </c>
      <c r="J5" s="12" t="inlineStr">
        <is>
          <t>Suite de pruebas de API.</t>
        </is>
      </c>
      <c r="K5" s="12" t="inlineStr">
        <is>
          <t>Aprobado</t>
        </is>
      </c>
      <c r="L5" s="12" t="inlineStr">
        <is>
          <t>Ambos</t>
        </is>
      </c>
      <c r="M5" s="12" t="str"/>
    </row>
    <row r="6">
      <c r="A6" s="130" t="inlineStr">
        <is>
          <t>RF03</t>
        </is>
      </c>
      <c r="B6" s="12" t="inlineStr">
        <is>
          <t>Funcional</t>
        </is>
      </c>
      <c r="C6" s="12" t="inlineStr">
        <is>
          <t>Resource Providers e Inventories</t>
        </is>
      </c>
      <c r="D6" s="12" t="inlineStr">
        <is>
          <t>Implementar administración de Resource Providers e Inventories requerida por OpenStack.</t>
        </is>
      </c>
      <c r="E6" s="12" t="inlineStr">
        <is>
          <t>Son estructuras centrales para describir proveedores y capacidad de recursos.</t>
        </is>
      </c>
      <c r="F6" s="12" t="inlineStr">
        <is>
          <t>Arquitectura Placement</t>
        </is>
      </c>
      <c r="G6" s="12" t="inlineStr">
        <is>
          <t>OE3, OE4</t>
        </is>
      </c>
      <c r="H6" s="12" t="inlineStr">
        <is>
          <t>Must</t>
        </is>
      </c>
      <c r="I6" s="12" t="inlineStr">
        <is>
          <t>Crear, consultar y modificar proveedores e inventarios en los casos definidos.</t>
        </is>
      </c>
      <c r="J6" s="12" t="inlineStr">
        <is>
          <t>Pruebas funcionales y de integración.</t>
        </is>
      </c>
      <c r="K6" s="12" t="inlineStr">
        <is>
          <t>Aprobado</t>
        </is>
      </c>
      <c r="L6" s="12" t="inlineStr">
        <is>
          <t>Sin asignar</t>
        </is>
      </c>
      <c r="M6" s="12" t="str"/>
    </row>
    <row r="7">
      <c r="A7" s="130" t="inlineStr">
        <is>
          <t>RF04</t>
        </is>
      </c>
      <c r="B7" s="12" t="inlineStr">
        <is>
          <t>Funcional</t>
        </is>
      </c>
      <c r="C7" s="12" t="inlineStr">
        <is>
          <t>Traits y Resource Classes</t>
        </is>
      </c>
      <c r="D7" s="12" t="inlineStr">
        <is>
          <t>Implementar manejo de Traits y Resource Classes necesario para los casos de prueba.</t>
        </is>
      </c>
      <c r="E7" s="12" t="inlineStr">
        <is>
          <t>Placement utiliza estas entidades para describir capacidades y clases de recursos.</t>
        </is>
      </c>
      <c r="F7" s="12" t="inlineStr">
        <is>
          <t>Arquitectura Placement</t>
        </is>
      </c>
      <c r="G7" s="12" t="inlineStr">
        <is>
          <t>OE3, OE4</t>
        </is>
      </c>
      <c r="H7" s="12" t="inlineStr">
        <is>
          <t>Must</t>
        </is>
      </c>
      <c r="I7" s="12" t="inlineStr">
        <is>
          <t>Operaciones priorizadas sobre traits y resource classes funcionan correctamente.</t>
        </is>
      </c>
      <c r="J7" s="12" t="inlineStr">
        <is>
          <t>Pruebas funcionales.</t>
        </is>
      </c>
      <c r="K7" s="12" t="inlineStr">
        <is>
          <t>Aprobado</t>
        </is>
      </c>
      <c r="L7" s="12" t="inlineStr">
        <is>
          <t>Sin asignar</t>
        </is>
      </c>
      <c r="M7" s="12" t="str"/>
    </row>
    <row r="8">
      <c r="A8" s="130" t="inlineStr">
        <is>
          <t>RF05</t>
        </is>
      </c>
      <c r="B8" s="12" t="inlineStr">
        <is>
          <t>Funcional</t>
        </is>
      </c>
      <c r="C8" s="12" t="inlineStr">
        <is>
          <t>Allocations</t>
        </is>
      </c>
      <c r="D8" s="12" t="inlineStr">
        <is>
          <t>Implementar consulta y modificación de allocations manteniendo el comportamiento necesario para la integración.</t>
        </is>
      </c>
      <c r="E8" s="12" t="inlineStr">
        <is>
          <t>Las asignaciones representan el consumo de recursos asociado a consumidores.</t>
        </is>
      </c>
      <c r="F8" s="12" t="inlineStr">
        <is>
          <t>Arquitectura Placement</t>
        </is>
      </c>
      <c r="G8" s="12" t="inlineStr">
        <is>
          <t>OE3, OE4</t>
        </is>
      </c>
      <c r="H8" s="12" t="inlineStr">
        <is>
          <t>Must</t>
        </is>
      </c>
      <c r="I8" s="12" t="inlineStr">
        <is>
          <t>Las allocations pueden crearse, consultarse y modificarse según los casos priorizados.</t>
        </is>
      </c>
      <c r="J8" s="12" t="inlineStr">
        <is>
          <t>Pruebas funcionales e integración con Nova.</t>
        </is>
      </c>
      <c r="K8" s="12" t="inlineStr">
        <is>
          <t>Aprobado</t>
        </is>
      </c>
      <c r="L8" s="12" t="inlineStr">
        <is>
          <t>Sin asignar</t>
        </is>
      </c>
      <c r="M8" s="12" t="str"/>
    </row>
    <row r="9">
      <c r="A9" s="130" t="inlineStr">
        <is>
          <t>RF06</t>
        </is>
      </c>
      <c r="B9" s="12" t="inlineStr">
        <is>
          <t>Funcional</t>
        </is>
      </c>
      <c r="C9" s="12" t="inlineStr">
        <is>
          <t>Allocation Candidates</t>
        </is>
      </c>
      <c r="D9" s="12" t="inlineStr">
        <is>
          <t>Implementar el mecanismo necesario para responder consultas de Allocation Candidates dentro del alcance definido.</t>
        </is>
      </c>
      <c r="E9" s="12" t="inlineStr">
        <is>
          <t>Nova Scheduler depende de esta capacidad para obtener alternativas válidas de recursos.</t>
        </is>
      </c>
      <c r="F9" s="12" t="inlineStr">
        <is>
          <t>Integración Nova - Placement</t>
        </is>
      </c>
      <c r="G9" s="12" t="inlineStr">
        <is>
          <t>OE3, OE4</t>
        </is>
      </c>
      <c r="H9" s="12" t="inlineStr">
        <is>
          <t>Must</t>
        </is>
      </c>
      <c r="I9" s="12" t="inlineStr">
        <is>
          <t>Las consultas seleccionadas retornan candidatos compatibles con la línea base.</t>
        </is>
      </c>
      <c r="J9" s="12" t="inlineStr">
        <is>
          <t>Comparación de respuestas y pruebas de integración.</t>
        </is>
      </c>
      <c r="K9" s="12" t="inlineStr">
        <is>
          <t>Aprobado</t>
        </is>
      </c>
      <c r="L9" s="12" t="inlineStr">
        <is>
          <t>Sin asignar</t>
        </is>
      </c>
      <c r="M9" s="12" t="str"/>
    </row>
    <row r="10">
      <c r="A10" s="130" t="inlineStr">
        <is>
          <t>RF07</t>
        </is>
      </c>
      <c r="B10" s="12" t="inlineStr">
        <is>
          <t>Funcional</t>
        </is>
      </c>
      <c r="C10" s="12" t="inlineStr">
        <is>
          <t>Persistencia</t>
        </is>
      </c>
      <c r="D10" s="12" t="inlineStr">
        <is>
          <t>La reimplementación debe almacenar de forma consistente la información requerida por el servicio.</t>
        </is>
      </c>
      <c r="E10" s="12" t="inlineStr">
        <is>
          <t>Placement necesita conservar proveedores, inventarios, allocations y metadatos relacionados.</t>
        </is>
      </c>
      <c r="F10" s="12" t="inlineStr">
        <is>
          <t>Diseño de la solución</t>
        </is>
      </c>
      <c r="G10" s="12" t="inlineStr">
        <is>
          <t>OE3, OE4</t>
        </is>
      </c>
      <c r="H10" s="12" t="inlineStr">
        <is>
          <t>Must</t>
        </is>
      </c>
      <c r="I10" s="12" t="inlineStr">
        <is>
          <t>Los datos persisten correctamente entre operaciones y reinicios según el alcance.</t>
        </is>
      </c>
      <c r="J10" s="12" t="inlineStr">
        <is>
          <t>Pruebas de persistencia.</t>
        </is>
      </c>
      <c r="K10" s="12" t="inlineStr">
        <is>
          <t>Propuesto</t>
        </is>
      </c>
      <c r="L10" s="12" t="inlineStr">
        <is>
          <t>Sin asignar</t>
        </is>
      </c>
      <c r="M10" s="12" t="str"/>
    </row>
    <row r="11">
      <c r="A11" s="130" t="inlineStr">
        <is>
          <t>RF08</t>
        </is>
      </c>
      <c r="B11" s="12" t="inlineStr">
        <is>
          <t>Funcional</t>
        </is>
      </c>
      <c r="C11" s="12" t="inlineStr">
        <is>
          <t>Autenticación</t>
        </is>
      </c>
      <c r="D11" s="12" t="inlineStr">
        <is>
          <t>Integrar los mecanismos de autenticación requeridos por OpenStack para acceder al servicio.</t>
        </is>
      </c>
      <c r="E11" s="12" t="inlineStr">
        <is>
          <t>La sustitución debe mantener los controles necesarios para interactuar con el ecosistema.</t>
        </is>
      </c>
      <c r="F11" s="12" t="inlineStr">
        <is>
          <t>Arquitectura OpenStack</t>
        </is>
      </c>
      <c r="G11" s="12" t="inlineStr">
        <is>
          <t>OE3, OE4</t>
        </is>
      </c>
      <c r="H11" s="12" t="inlineStr">
        <is>
          <t>Must</t>
        </is>
      </c>
      <c r="I11" s="12" t="inlineStr">
        <is>
          <t>Las solicitudes autorizadas funcionan y las no autorizadas se rechazan según el alcance.</t>
        </is>
      </c>
      <c r="J11" s="12" t="inlineStr">
        <is>
          <t>Pruebas de autenticación.</t>
        </is>
      </c>
      <c r="K11" s="12" t="inlineStr">
        <is>
          <t>Propuesto</t>
        </is>
      </c>
      <c r="L11" s="12" t="inlineStr">
        <is>
          <t>Sin asignar</t>
        </is>
      </c>
      <c r="M11" s="12" t="str"/>
    </row>
    <row r="12">
      <c r="A12" s="130" t="inlineStr">
        <is>
          <t>RF09</t>
        </is>
      </c>
      <c r="B12" s="12" t="inlineStr">
        <is>
          <t>Funcional</t>
        </is>
      </c>
      <c r="C12" s="12" t="inlineStr">
        <is>
          <t>Sustitución del servicio original</t>
        </is>
      </c>
      <c r="D12" s="12" t="inlineStr">
        <is>
          <t>Debe ser posible reemplazar el servicio original dentro del entorno experimental sin modificar de manera significativa los demás servicios de OpenStack.</t>
        </is>
      </c>
      <c r="E12" s="12" t="inlineStr">
        <is>
          <t>Es el criterio central para demostrar compatibilidad real.</t>
        </is>
      </c>
      <c r="F12" s="12" t="inlineStr">
        <is>
          <t>Objetivo del proyecto</t>
        </is>
      </c>
      <c r="G12" s="12" t="inlineStr">
        <is>
          <t>OE4</t>
        </is>
      </c>
      <c r="H12" s="12" t="inlineStr">
        <is>
          <t>Must</t>
        </is>
      </c>
      <c r="I12" s="12" t="inlineStr">
        <is>
          <t>Nova utiliza la reimplementación de Placement y permite ejecutar las operaciones críticas definidas.</t>
        </is>
      </c>
      <c r="J12" s="12" t="inlineStr">
        <is>
          <t>Prueba de sustitución y creación de instancia.</t>
        </is>
      </c>
      <c r="K12" s="12" t="inlineStr">
        <is>
          <t>Propuesto</t>
        </is>
      </c>
      <c r="L12" s="12" t="inlineStr">
        <is>
          <t>Ambos</t>
        </is>
      </c>
      <c r="M12" s="12" t="str"/>
    </row>
    <row r="13">
      <c r="A13" s="130" t="inlineStr">
        <is>
          <t>RF10</t>
        </is>
      </c>
      <c r="B13" s="12" t="inlineStr">
        <is>
          <t>Funcional</t>
        </is>
      </c>
      <c r="C13" s="12" t="inlineStr">
        <is>
          <t>Glance Image Service</t>
        </is>
      </c>
      <c r="D13" s="12" t="inlineStr">
        <is>
          <t>Reimplementar un alcance acotado de OpenStack Glance, centrado en la API de imágenes necesaria para registrar, listar, consultar, actualizar y eliminar metadatos de imágenes, transferir datos de imagen y permitir su consumo por Nova en los casos definidos.</t>
        </is>
      </c>
      <c r="E13" s="12" t="inlineStr">
        <is>
          <t>Glance es el segundo servicio confirmado del proyecto y permite evaluar un componente HTTP con persistencia de metadatos y transferencia de datos binarios, complementando el análisis de Placement.</t>
        </is>
      </c>
      <c r="F13" s="12" t="inlineStr">
        <is>
          <t>Alcance definido del proyecto / OpenStack Glance</t>
        </is>
      </c>
      <c r="G13" s="12" t="inlineStr">
        <is>
          <t>OE1, OE3, OE4</t>
        </is>
      </c>
      <c r="H13" s="12" t="inlineStr">
        <is>
          <t>Must</t>
        </is>
      </c>
      <c r="I13" s="12" t="inlineStr">
        <is>
          <t>La reimplementación permite gestionar el ciclo mínimo de una imagen y Nova puede crear una instancia usando una imagen servida por el Glance reimplementado.</t>
        </is>
      </c>
      <c r="J13" s="12" t="inlineStr">
        <is>
          <t>Pruebas diferenciales de API, carga/descarga de imagen y prueba end-to-end de creación de instancia.</t>
        </is>
      </c>
      <c r="K13" s="12" t="inlineStr">
        <is>
          <t>Aprobado</t>
        </is>
      </c>
      <c r="L13" s="12" t="inlineStr">
        <is>
          <t>Ambos</t>
        </is>
      </c>
      <c r="M13" s="12" t="inlineStr">
        <is>
          <t>Alcance acotado al subconjunto de Image API necesario para el laboratorio; no se busca cubrir todos los backends ni extensiones opcionales.</t>
        </is>
      </c>
    </row>
    <row r="14">
      <c r="A14" s="130" t="inlineStr">
        <is>
          <t>RF11</t>
        </is>
      </c>
      <c r="B14" s="12" t="inlineStr">
        <is>
          <t>Funcional</t>
        </is>
      </c>
      <c r="C14" s="12" t="inlineStr">
        <is>
          <t>Observabilidad</t>
        </is>
      </c>
      <c r="D14" s="12" t="inlineStr">
        <is>
          <t>Los nuevos servicios deberán proporcionar mecanismos suficientes de logging y medición para pruebas y diagnóstico.</t>
        </is>
      </c>
      <c r="E14" s="12" t="inlineStr">
        <is>
          <t>Se requieren datos para depurar la integración y comparar comportamiento.</t>
        </is>
      </c>
      <c r="F14" s="12" t="inlineStr">
        <is>
          <t>Buenas prácticas de operación</t>
        </is>
      </c>
      <c r="G14" s="12" t="inlineStr">
        <is>
          <t>OE4, OE5</t>
        </is>
      </c>
      <c r="H14" s="12" t="inlineStr">
        <is>
          <t>Should</t>
        </is>
      </c>
      <c r="I14" s="12" t="inlineStr">
        <is>
          <t>Los eventos relevantes y métricas necesarias pueden obtenerse durante las pruebas.</t>
        </is>
      </c>
      <c r="J14" s="12" t="inlineStr">
        <is>
          <t>Revisión de logs y métricas.</t>
        </is>
      </c>
      <c r="K14" s="12" t="inlineStr">
        <is>
          <t>Propuesto</t>
        </is>
      </c>
      <c r="L14" s="12" t="inlineStr">
        <is>
          <t>Sin asignar</t>
        </is>
      </c>
      <c r="M14" s="12" t="str"/>
    </row>
    <row r="15">
      <c r="A15" s="130" t="inlineStr">
        <is>
          <t>RF12</t>
        </is>
      </c>
      <c r="B15" s="12" t="inlineStr">
        <is>
          <t>Funcional</t>
        </is>
      </c>
      <c r="C15" s="12" t="inlineStr">
        <is>
          <t>Automatización de pruebas</t>
        </is>
      </c>
      <c r="D15" s="12" t="inlineStr">
        <is>
          <t>Debe existir una forma reproducible de ejecutar pruebas funcionales y de integración.</t>
        </is>
      </c>
      <c r="E15" s="12" t="inlineStr">
        <is>
          <t>La automatización reduce variabilidad y facilita validar regresiones.</t>
        </is>
      </c>
      <c r="F15" s="12" t="inlineStr">
        <is>
          <t>Metodología experimental</t>
        </is>
      </c>
      <c r="G15" s="12" t="inlineStr">
        <is>
          <t>OE4, OE5</t>
        </is>
      </c>
      <c r="H15" s="12" t="inlineStr">
        <is>
          <t>Must</t>
        </is>
      </c>
      <c r="I15" s="12" t="inlineStr">
        <is>
          <t>La suite puede ejecutarse repetidamente y reportar resultados comparables.</t>
        </is>
      </c>
      <c r="J15" s="12" t="inlineStr">
        <is>
          <t>Ejecución de suite automatizada.</t>
        </is>
      </c>
      <c r="K15" s="12" t="inlineStr">
        <is>
          <t>Propuesto</t>
        </is>
      </c>
      <c r="L15" s="12" t="inlineStr">
        <is>
          <t>Sin asignar</t>
        </is>
      </c>
      <c r="M15" s="12" t="str"/>
    </row>
    <row r="16">
      <c r="A16" s="130" t="inlineStr">
        <is>
          <t>RNF01</t>
        </is>
      </c>
      <c r="B16" s="12" t="inlineStr">
        <is>
          <t>No funcional</t>
        </is>
      </c>
      <c r="C16" s="12" t="inlineStr">
        <is>
          <t>Compatibilidad</t>
        </is>
      </c>
      <c r="D16" s="12" t="inlineStr">
        <is>
          <t>La solución debe mantener compatibilidad funcional con los flujos OpenStack considerados en el alcance.</t>
        </is>
      </c>
      <c r="E16" s="12" t="inlineStr">
        <is>
          <t>La reimplementación solo es útil si los consumidores pueden utilizarla sin cambios sustanciales.</t>
        </is>
      </c>
      <c r="F16" s="12" t="inlineStr">
        <is>
          <t>Objetivo del proyecto</t>
        </is>
      </c>
      <c r="G16" s="12" t="inlineStr">
        <is>
          <t>OE3, OE4</t>
        </is>
      </c>
      <c r="H16" s="12" t="inlineStr">
        <is>
          <t>Must</t>
        </is>
      </c>
      <c r="I16" s="12" t="inlineStr">
        <is>
          <t>Todos los casos críticos seleccionados mantienen comportamiento compatible.</t>
        </is>
      </c>
      <c r="J16" s="12" t="inlineStr">
        <is>
          <t>Pruebas comparativas.</t>
        </is>
      </c>
      <c r="K16" s="12" t="inlineStr">
        <is>
          <t>Aprobado</t>
        </is>
      </c>
      <c r="L16" s="12" t="inlineStr">
        <is>
          <t>Ambos</t>
        </is>
      </c>
      <c r="M16" s="12" t="str"/>
    </row>
    <row r="17">
      <c r="A17" s="130" t="inlineStr">
        <is>
          <t>RNF02</t>
        </is>
      </c>
      <c r="B17" s="12" t="inlineStr">
        <is>
          <t>No funcional</t>
        </is>
      </c>
      <c r="C17" s="12" t="inlineStr">
        <is>
          <t>Rendimiento</t>
        </is>
      </c>
      <c r="D17" s="12" t="inlineStr">
        <is>
          <t>Debe ser posible medir y comparar latencia y throughput entre ambas implementaciones.</t>
        </is>
      </c>
      <c r="E17" s="12" t="inlineStr">
        <is>
          <t>Permite evaluar experimentalmente la hipótesis de mejora.</t>
        </is>
      </c>
      <c r="F17" s="12" t="inlineStr">
        <is>
          <t>Objetivo del proyecto</t>
        </is>
      </c>
      <c r="G17" s="12" t="inlineStr">
        <is>
          <t>OE5</t>
        </is>
      </c>
      <c r="H17" s="12" t="inlineStr">
        <is>
          <t>Must</t>
        </is>
      </c>
      <c r="I17" s="12" t="inlineStr">
        <is>
          <t>Se obtienen mediciones repetibles de latencia y throughput para ambas versiones.</t>
        </is>
      </c>
      <c r="J17" s="12" t="inlineStr">
        <is>
          <t>Benchmark controlado.</t>
        </is>
      </c>
      <c r="K17" s="12" t="inlineStr">
        <is>
          <t>Aprobado</t>
        </is>
      </c>
      <c r="L17" s="12" t="inlineStr">
        <is>
          <t>Ambos</t>
        </is>
      </c>
      <c r="M17" s="12" t="str"/>
    </row>
    <row r="18">
      <c r="A18" s="130" t="inlineStr">
        <is>
          <t>RNF03</t>
        </is>
      </c>
      <c r="B18" s="12" t="inlineStr">
        <is>
          <t>No funcional</t>
        </is>
      </c>
      <c r="C18" s="12" t="inlineStr">
        <is>
          <t>Uso de recursos</t>
        </is>
      </c>
      <c r="D18" s="12" t="inlineStr">
        <is>
          <t>Se deberá medir consumo de CPU y memoria.</t>
        </is>
      </c>
      <c r="E18" s="12" t="inlineStr">
        <is>
          <t>El proyecto busca comparar el costo operacional de ambas implementaciones.</t>
        </is>
      </c>
      <c r="F18" s="12" t="inlineStr">
        <is>
          <t>Objetivo del proyecto</t>
        </is>
      </c>
      <c r="G18" s="12" t="inlineStr">
        <is>
          <t>OE5</t>
        </is>
      </c>
      <c r="H18" s="12" t="inlineStr">
        <is>
          <t>Must</t>
        </is>
      </c>
      <c r="I18" s="12" t="inlineStr">
        <is>
          <t>Se obtienen métricas comparables de CPU y RAM bajo cargas definidas.</t>
        </is>
      </c>
      <c r="J18" s="12" t="inlineStr">
        <is>
          <t>Monitoreo durante benchmark.</t>
        </is>
      </c>
      <c r="K18" s="12" t="inlineStr">
        <is>
          <t>Aprobado</t>
        </is>
      </c>
      <c r="L18" s="12" t="inlineStr">
        <is>
          <t>Ambos</t>
        </is>
      </c>
      <c r="M18" s="12" t="str"/>
    </row>
    <row r="19">
      <c r="A19" s="130" t="inlineStr">
        <is>
          <t>RNF04</t>
        </is>
      </c>
      <c r="B19" s="12" t="inlineStr">
        <is>
          <t>No funcional</t>
        </is>
      </c>
      <c r="C19" s="12" t="inlineStr">
        <is>
          <t>Fiabilidad</t>
        </is>
      </c>
      <c r="D19" s="12" t="inlineStr">
        <is>
          <t>Las operaciones funcionales críticas deben ejecutarse de forma consistente durante las pruebas.</t>
        </is>
      </c>
      <c r="E19" s="12" t="inlineStr">
        <is>
          <t>La mejora de rendimiento no puede comprometer la estabilidad funcional.</t>
        </is>
      </c>
      <c r="F19" s="12" t="inlineStr">
        <is>
          <t>Calidad de software</t>
        </is>
      </c>
      <c r="G19" s="12" t="inlineStr">
        <is>
          <t>OE4, OE5</t>
        </is>
      </c>
      <c r="H19" s="12" t="inlineStr">
        <is>
          <t>Must</t>
        </is>
      </c>
      <c r="I19" s="12" t="inlineStr">
        <is>
          <t>Las pruebas críticas se ejecutan repetidamente sin fallos inesperados dentro de los criterios definidos.</t>
        </is>
      </c>
      <c r="J19" s="12" t="inlineStr">
        <is>
          <t>Ejecuciones repetidas y registro de fallos.</t>
        </is>
      </c>
      <c r="K19" s="12" t="inlineStr">
        <is>
          <t>Propuesto</t>
        </is>
      </c>
      <c r="L19" s="12" t="inlineStr">
        <is>
          <t>Sin asignar</t>
        </is>
      </c>
      <c r="M19" s="12" t="str"/>
    </row>
    <row r="20">
      <c r="A20" s="130" t="inlineStr">
        <is>
          <t>RNF05</t>
        </is>
      </c>
      <c r="B20" s="12" t="inlineStr">
        <is>
          <t>No funcional</t>
        </is>
      </c>
      <c r="C20" s="12" t="inlineStr">
        <is>
          <t>Reproducibilidad</t>
        </is>
      </c>
      <c r="D20" s="12" t="inlineStr">
        <is>
          <t>El entorno, compilación, despliegue y pruebas deben estar documentados y ser reproducibles.</t>
        </is>
      </c>
      <c r="E20" s="12" t="inlineStr">
        <is>
          <t>El trabajo académico debe poder ser verificado y repetido.</t>
        </is>
      </c>
      <c r="F20" s="12" t="inlineStr">
        <is>
          <t>Rúbrica / metodología</t>
        </is>
      </c>
      <c r="G20" s="12" t="inlineStr">
        <is>
          <t>OE2, OE5</t>
        </is>
      </c>
      <c r="H20" s="12" t="inlineStr">
        <is>
          <t>Must</t>
        </is>
      </c>
      <c r="I20" s="12" t="inlineStr">
        <is>
          <t>Un tercero puede reconstruir el entorno siguiendo la documentación y scripts.</t>
        </is>
      </c>
      <c r="J20" s="12" t="inlineStr">
        <is>
          <t>Checklist de reproducción.</t>
        </is>
      </c>
      <c r="K20" s="12" t="inlineStr">
        <is>
          <t>Aprobado</t>
        </is>
      </c>
      <c r="L20" s="12" t="inlineStr">
        <is>
          <t>Ambos</t>
        </is>
      </c>
      <c r="M20" s="12" t="str"/>
    </row>
    <row r="21">
      <c r="A21" s="130" t="inlineStr">
        <is>
          <t>RNF06</t>
        </is>
      </c>
      <c r="B21" s="12" t="inlineStr">
        <is>
          <t>No funcional</t>
        </is>
      </c>
      <c r="C21" s="12" t="inlineStr">
        <is>
          <t>Mantenibilidad</t>
        </is>
      </c>
      <c r="D21" s="12" t="inlineStr">
        <is>
          <t>El código debe tener una estructura modular, documentación y pruebas.</t>
        </is>
      </c>
      <c r="E21" s="12" t="inlineStr">
        <is>
          <t>Facilita evolución, revisión y comprensión del proyecto.</t>
        </is>
      </c>
      <c r="F21" s="12" t="inlineStr">
        <is>
          <t>Buenas prácticas de ingeniería</t>
        </is>
      </c>
      <c r="G21" s="12" t="inlineStr">
        <is>
          <t>OE3</t>
        </is>
      </c>
      <c r="H21" s="12" t="inlineStr">
        <is>
          <t>Should</t>
        </is>
      </c>
      <c r="I21" s="12" t="inlineStr">
        <is>
          <t>El repositorio presenta módulos claros, documentación y pruebas del alcance implementado.</t>
        </is>
      </c>
      <c r="J21" s="12" t="inlineStr">
        <is>
          <t>Revisión de código y repositorio.</t>
        </is>
      </c>
      <c r="K21" s="12" t="inlineStr">
        <is>
          <t>Propuesto</t>
        </is>
      </c>
      <c r="L21" s="12" t="inlineStr">
        <is>
          <t>Sin asignar</t>
        </is>
      </c>
      <c r="M21" s="12" t="str"/>
    </row>
    <row r="22">
      <c r="A22" s="130" t="inlineStr">
        <is>
          <t>RNF07</t>
        </is>
      </c>
      <c r="B22" s="12" t="inlineStr">
        <is>
          <t>No funcional</t>
        </is>
      </c>
      <c r="C22" s="12" t="inlineStr">
        <is>
          <t>Seguridad</t>
        </is>
      </c>
      <c r="D22" s="12" t="inlineStr">
        <is>
          <t>Las pruebas y reimplementaciones no deberán eliminar los mecanismos de autenticación requeridos para la integración.</t>
        </is>
      </c>
      <c r="E22" s="12" t="inlineStr">
        <is>
          <t>La sustitución debe conservar controles relevantes del sistema.</t>
        </is>
      </c>
      <c r="F22" s="12" t="inlineStr">
        <is>
          <t>Arquitectura OpenStack</t>
        </is>
      </c>
      <c r="G22" s="12" t="inlineStr">
        <is>
          <t>OE3, OE4</t>
        </is>
      </c>
      <c r="H22" s="12" t="inlineStr">
        <is>
          <t>Must</t>
        </is>
      </c>
      <c r="I22" s="12" t="inlineStr">
        <is>
          <t>Los mecanismos de autenticación definidos funcionan durante integración y pruebas.</t>
        </is>
      </c>
      <c r="J22" s="12" t="inlineStr">
        <is>
          <t>Pruebas positivas y negativas.</t>
        </is>
      </c>
      <c r="K22" s="12" t="inlineStr">
        <is>
          <t>Propuesto</t>
        </is>
      </c>
      <c r="L22" s="12" t="inlineStr">
        <is>
          <t>Sin asignar</t>
        </is>
      </c>
      <c r="M22" s="12" t="str"/>
    </row>
    <row r="23">
      <c r="A23" s="130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130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130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130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130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130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130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130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130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130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130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130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30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130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130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130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130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130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130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130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130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130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130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130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130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130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130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130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130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</row>
    <row r="52">
      <c r="A52" s="130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</row>
    <row r="53">
      <c r="A53" s="130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</row>
    <row r="54">
      <c r="A54" s="130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</row>
    <row r="55">
      <c r="A55" s="130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</row>
    <row r="56">
      <c r="A56" s="130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</row>
    <row r="57">
      <c r="A57" s="130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</row>
    <row r="58">
      <c r="A58" s="130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</row>
    <row r="59">
      <c r="A59" s="130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</row>
    <row r="60">
      <c r="A60" s="130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</row>
    <row r="61">
      <c r="A61" s="130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</row>
    <row r="62">
      <c r="A62" s="130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</row>
    <row r="63">
      <c r="A63" s="130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</row>
    <row r="64">
      <c r="A64" s="130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</row>
    <row r="65">
      <c r="A65" s="130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</row>
    <row r="66">
      <c r="A66" s="130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</row>
    <row r="67">
      <c r="A67" s="130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</row>
    <row r="68">
      <c r="A68" s="130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</row>
    <row r="69">
      <c r="A69" s="130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</row>
    <row r="70">
      <c r="A70" s="130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</row>
    <row r="71">
      <c r="A71" s="130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</row>
    <row r="72">
      <c r="A72" s="130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</row>
    <row r="73">
      <c r="A73" s="130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</row>
    <row r="74">
      <c r="A74" s="130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</row>
    <row r="75">
      <c r="A75" s="130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</row>
    <row r="76">
      <c r="A76" s="130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</row>
    <row r="77">
      <c r="A77" s="130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</row>
    <row r="78">
      <c r="A78" s="130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</row>
    <row r="79">
      <c r="A79" s="130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</row>
    <row r="80">
      <c r="A80" s="130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</row>
    <row r="81">
      <c r="A81" s="130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</row>
    <row r="82">
      <c r="A82" s="130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</row>
    <row r="83">
      <c r="A83" s="130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</row>
    <row r="84">
      <c r="A84" s="130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</row>
    <row r="85">
      <c r="A85" s="130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</row>
    <row r="86">
      <c r="A86" s="130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</row>
    <row r="87">
      <c r="A87" s="130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</row>
    <row r="88">
      <c r="A88" s="130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</row>
    <row r="89">
      <c r="A89" s="130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</row>
    <row r="90">
      <c r="A90" s="130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</row>
    <row r="91">
      <c r="A91" s="130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</row>
    <row r="92">
      <c r="A92" s="130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</row>
    <row r="93">
      <c r="A93" s="130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</row>
    <row r="94">
      <c r="A94" s="130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</row>
    <row r="95">
      <c r="A95" s="130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</row>
    <row r="96">
      <c r="A96" s="130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</row>
    <row r="97">
      <c r="A97" s="130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</row>
    <row r="98">
      <c r="A98" s="130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</row>
    <row r="99">
      <c r="A99" s="130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</row>
    <row r="100">
      <c r="A100" s="130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</row>
    <row r="101">
      <c r="A101" s="130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</row>
    <row r="102">
      <c r="A102" s="130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</row>
    <row r="103">
      <c r="A103" s="130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</row>
    <row r="104">
      <c r="A104" s="130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</row>
    <row r="105">
      <c r="A105" s="130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</row>
    <row r="106">
      <c r="A106" s="130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</row>
    <row r="107">
      <c r="A107" s="130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</row>
    <row r="108">
      <c r="A108" s="130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</row>
    <row r="109">
      <c r="A109" s="130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</row>
    <row r="110">
      <c r="A110" s="130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</row>
    <row r="111">
      <c r="A111" s="130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</row>
    <row r="112">
      <c r="A112" s="130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</row>
    <row r="113">
      <c r="A113" s="130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</row>
    <row r="114">
      <c r="A114" s="130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</row>
    <row r="115">
      <c r="A115" s="130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</row>
    <row r="116">
      <c r="A116" s="130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</row>
    <row r="117">
      <c r="A117" s="130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</row>
    <row r="118">
      <c r="A118" s="130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</row>
    <row r="119">
      <c r="A119" s="130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</row>
    <row r="120">
      <c r="A120" s="130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</row>
    <row r="121">
      <c r="A121" s="130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</row>
    <row r="122">
      <c r="A122" s="130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</row>
    <row r="123">
      <c r="A123" s="130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</row>
    <row r="124">
      <c r="A124" s="130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</row>
    <row r="125">
      <c r="A125" s="130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</row>
    <row r="126">
      <c r="A126" s="130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</row>
    <row r="127">
      <c r="A127" s="130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</row>
    <row r="128">
      <c r="A128" s="130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</row>
    <row r="129">
      <c r="A129" s="130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</row>
    <row r="130">
      <c r="A130" s="130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</row>
    <row r="131">
      <c r="A131" s="130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</row>
    <row r="132">
      <c r="A132" s="130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</row>
    <row r="133">
      <c r="A133" s="130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</row>
    <row r="134">
      <c r="A134" s="130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</row>
    <row r="135">
      <c r="A135" s="130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</row>
    <row r="136">
      <c r="A136" s="130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</row>
    <row r="137">
      <c r="A137" s="130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</row>
    <row r="138">
      <c r="A138" s="130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</row>
    <row r="139">
      <c r="A139" s="130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</row>
    <row r="140">
      <c r="A140" s="130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</row>
    <row r="141">
      <c r="A141" s="130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</row>
    <row r="142">
      <c r="A142" s="130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</row>
    <row r="143">
      <c r="A143" s="130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</row>
    <row r="144">
      <c r="A144" s="130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</row>
    <row r="145">
      <c r="A145" s="130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</row>
    <row r="146">
      <c r="A146" s="130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</row>
    <row r="147">
      <c r="A147" s="130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</row>
    <row r="148">
      <c r="A148" s="130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</row>
    <row r="149">
      <c r="A149" s="130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</row>
    <row r="150">
      <c r="A150" s="130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</row>
    <row r="151">
      <c r="A151" s="130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</row>
    <row r="152">
      <c r="A152" s="130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</row>
    <row r="153">
      <c r="A153" s="130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</row>
    <row r="154">
      <c r="A154" s="130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</row>
    <row r="155">
      <c r="A155" s="130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</row>
    <row r="156">
      <c r="A156" s="130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</row>
    <row r="157">
      <c r="A157" s="130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</row>
    <row r="158">
      <c r="A158" s="130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</row>
    <row r="159">
      <c r="A159" s="130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</row>
    <row r="160">
      <c r="A160" s="130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</row>
    <row r="161">
      <c r="A161" s="130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</row>
    <row r="162">
      <c r="A162" s="130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</row>
    <row r="163">
      <c r="A163" s="130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</row>
    <row r="164">
      <c r="A164" s="130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</row>
    <row r="165">
      <c r="A165" s="130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</row>
    <row r="166">
      <c r="A166" s="130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</row>
    <row r="167">
      <c r="A167" s="130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</row>
    <row r="168">
      <c r="A168" s="130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</row>
    <row r="169">
      <c r="A169" s="130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</row>
    <row r="170">
      <c r="A170" s="130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</row>
    <row r="171">
      <c r="A171" s="130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</row>
    <row r="172">
      <c r="A172" s="130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</row>
    <row r="173">
      <c r="A173" s="130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</row>
    <row r="174">
      <c r="A174" s="130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</row>
    <row r="175">
      <c r="A175" s="130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</row>
    <row r="176">
      <c r="A176" s="130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</row>
    <row r="177">
      <c r="A177" s="130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</row>
    <row r="178">
      <c r="A178" s="130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</row>
    <row r="179">
      <c r="A179" s="130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</row>
    <row r="180">
      <c r="A180" s="130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</row>
    <row r="181">
      <c r="A181" s="130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</row>
    <row r="182">
      <c r="A182" s="130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</row>
    <row r="183">
      <c r="A183" s="130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</row>
    <row r="184">
      <c r="A184" s="130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</row>
    <row r="185">
      <c r="A185" s="130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</row>
    <row r="186">
      <c r="A186" s="130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</row>
    <row r="187">
      <c r="A187" s="130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</row>
    <row r="188">
      <c r="A188" s="130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</row>
    <row r="189">
      <c r="A189" s="130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</row>
    <row r="190">
      <c r="A190" s="130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</row>
    <row r="191">
      <c r="A191" s="130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</row>
    <row r="192">
      <c r="A192" s="130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</row>
    <row r="193">
      <c r="A193" s="130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</row>
    <row r="194">
      <c r="A194" s="130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</row>
    <row r="195">
      <c r="A195" s="130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</row>
    <row r="196">
      <c r="A196" s="130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</row>
    <row r="197">
      <c r="A197" s="130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</row>
    <row r="198">
      <c r="A198" s="130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</row>
    <row r="199">
      <c r="A199" s="130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</row>
    <row r="200">
      <c r="A200" s="130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</row>
  </sheetData>
  <mergeCells count="1">
    <mergeCell ref="A1:M1"/>
  </mergeCells>
  <conditionalFormatting sqref="K4:K200">
    <cfRule type="expression" priority="1" dxfId="0">
      <formula>K4="Validado"</formula>
    </cfRule>
    <cfRule type="expression" priority="2" dxfId="1">
      <formula>K4="En desarrollo"</formula>
    </cfRule>
    <cfRule type="expression" priority="3" dxfId="3">
      <formula>K4="Descartado"</formula>
    </cfRule>
    <cfRule type="expression" priority="4" dxfId="7">
      <formula>K4="Propuesto"</formula>
    </cfRule>
  </conditionalFormatting>
  <dataValidations count="4">
    <dataValidation sqref="B4:B200" showDropDown="0" showInputMessage="0" showErrorMessage="0" allowBlank="0" type="list">
      <formula1>"Funcional,No funcional"</formula1>
    </dataValidation>
    <dataValidation sqref="H4:H200" showDropDown="0" showInputMessage="0" showErrorMessage="0" allowBlank="0" type="list">
      <formula1>Listas!$B$2:$B$5</formula1>
    </dataValidation>
    <dataValidation sqref="K4:K200" showDropDown="0" showInputMessage="0" showErrorMessage="0" allowBlank="0" type="list">
      <formula1>Listas!$E$2:$E$7</formula1>
    </dataValidation>
    <dataValidation sqref="L4:L200" showDropDown="0" showInputMessage="0" showErrorMessage="0" allowBlank="0" type="list">
      <formula1>Listas!$C$2:$C$5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selection activeCell="A1" sqref="A1"/>
    </sheetView>
  </sheetViews>
  <sheetFormatPr baseColWidth="8" defaultRowHeight="15"/>
  <cols>
    <col width="8" customWidth="1" style="136" min="1" max="1"/>
    <col width="28" customWidth="1" style="136" min="2" max="2"/>
    <col width="13" customWidth="1" style="136" min="3" max="3"/>
    <col width="38" customWidth="1" style="136" min="4" max="4"/>
    <col width="14" customWidth="1" style="136" min="5" max="5"/>
    <col width="18" customWidth="1" style="136" min="6" max="6"/>
    <col width="12" customWidth="1" style="136" min="7" max="7"/>
    <col width="42" customWidth="1" style="136" min="8" max="8"/>
    <col width="12" customWidth="1" style="136" min="9" max="9"/>
    <col width="15" customWidth="1" style="136" min="10" max="10"/>
    <col width="10" customWidth="1" style="136" min="11" max="11"/>
    <col width="14" customWidth="1" style="136" min="12" max="12"/>
    <col width="18" customWidth="1" style="136" min="13" max="13"/>
    <col width="13" customWidth="1" style="136" min="14" max="14"/>
    <col width="13" customWidth="1" style="136" min="15" max="15"/>
    <col width="26" customWidth="1" style="136" min="16" max="16"/>
    <col width="28" customWidth="1" style="136" min="17" max="17"/>
  </cols>
  <sheetData>
    <row r="1" ht="28" customHeight="1" s="136">
      <c r="A1" s="21" t="inlineStr">
        <is>
          <t>Backlog del Proyecto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28" t="n"/>
    </row>
    <row r="3">
      <c r="A3" s="6" t="inlineStr">
        <is>
          <t>ID</t>
        </is>
      </c>
      <c r="B3" s="6" t="inlineStr">
        <is>
          <t>Épica</t>
        </is>
      </c>
      <c r="C3" s="6" t="inlineStr">
        <is>
          <t>Tipo</t>
        </is>
      </c>
      <c r="D3" s="6" t="inlineStr">
        <is>
          <t>Descripción</t>
        </is>
      </c>
      <c r="E3" s="6" t="inlineStr">
        <is>
          <t>Objetivo</t>
        </is>
      </c>
      <c r="F3" s="6" t="inlineStr">
        <is>
          <t>Requerimiento</t>
        </is>
      </c>
      <c r="G3" s="6" t="inlineStr">
        <is>
          <t>Prioridad</t>
        </is>
      </c>
      <c r="H3" s="6" t="inlineStr">
        <is>
          <t>Criterio de aceptación</t>
        </is>
      </c>
      <c r="I3" s="6" t="inlineStr">
        <is>
          <t>Story Points</t>
        </is>
      </c>
      <c r="J3" s="6" t="inlineStr">
        <is>
          <t>Responsable</t>
        </is>
      </c>
      <c r="K3" s="6" t="inlineStr">
        <is>
          <t>Sprint</t>
        </is>
      </c>
      <c r="L3" s="6" t="inlineStr">
        <is>
          <t>Estado</t>
        </is>
      </c>
      <c r="M3" s="6" t="inlineStr">
        <is>
          <t>Dependencia</t>
        </is>
      </c>
      <c r="N3" s="6" t="inlineStr">
        <is>
          <t>Fecha inicio</t>
        </is>
      </c>
      <c r="O3" s="6" t="inlineStr">
        <is>
          <t>Fecha límite</t>
        </is>
      </c>
      <c r="P3" s="6" t="inlineStr">
        <is>
          <t>Evidencia</t>
        </is>
      </c>
      <c r="Q3" s="6" t="inlineStr">
        <is>
          <t>Observaciones</t>
        </is>
      </c>
    </row>
    <row r="4">
      <c r="A4" s="130" t="inlineStr">
        <is>
          <t>B01</t>
        </is>
      </c>
      <c r="B4" s="12" t="inlineStr">
        <is>
          <t>E1: Infraestructura y entorno</t>
        </is>
      </c>
      <c r="C4" s="12" t="inlineStr">
        <is>
          <t>Tarea</t>
        </is>
      </c>
      <c r="D4" s="12" t="inlineStr">
        <is>
          <t>Preparar servidor o máquina virtual para laboratorio</t>
        </is>
      </c>
      <c r="E4" s="12" t="inlineStr">
        <is>
          <t>OE2</t>
        </is>
      </c>
      <c r="F4" s="12" t="inlineStr">
        <is>
          <t>RF01</t>
        </is>
      </c>
      <c r="G4" s="12" t="inlineStr">
        <is>
          <t>Must</t>
        </is>
      </c>
      <c r="H4" s="12" t="inlineStr">
        <is>
          <t>Servidor o VM disponible y documentado para el despliegue.</t>
        </is>
      </c>
      <c r="I4" s="12" t="n">
        <v>3</v>
      </c>
      <c r="J4" s="12" t="inlineStr">
        <is>
          <t>Ambos</t>
        </is>
      </c>
      <c r="K4" s="12" t="inlineStr">
        <is>
          <t>S2</t>
        </is>
      </c>
      <c r="L4" s="12" t="inlineStr">
        <is>
          <t>Bloqueado</t>
        </is>
      </c>
      <c r="M4" s="12" t="str"/>
      <c r="N4" s="138" t="n">
        <v>46270</v>
      </c>
      <c r="O4" s="138" t="n">
        <v>46275</v>
      </c>
      <c r="P4" s="12" t="inlineStr">
        <is>
          <t>evidence/sprint2/environment/host-audit.txt</t>
        </is>
      </c>
      <c r="Q4" s="12" t="inlineStr">
        <is>
          <t>Host CachyOS no dedicado; se requiere VM Ubuntu 24.04.</t>
        </is>
      </c>
    </row>
    <row r="5">
      <c r="A5" s="130" t="inlineStr">
        <is>
          <t>B02</t>
        </is>
      </c>
      <c r="B5" s="12" t="inlineStr">
        <is>
          <t>E1: Infraestructura y entorno</t>
        </is>
      </c>
      <c r="C5" s="12" t="inlineStr">
        <is>
          <t>Tarea</t>
        </is>
      </c>
      <c r="D5" s="12" t="inlineStr">
        <is>
          <t>Instalar DevStack de un nodo</t>
        </is>
      </c>
      <c r="E5" s="12" t="inlineStr">
        <is>
          <t>OE2</t>
        </is>
      </c>
      <c r="F5" s="12" t="inlineStr">
        <is>
          <t>RF01</t>
        </is>
      </c>
      <c r="G5" s="12" t="inlineStr">
        <is>
          <t>Must</t>
        </is>
      </c>
      <c r="H5" s="12" t="inlineStr">
        <is>
          <t>DevStack inicia correctamente y los servicios críticos responden.</t>
        </is>
      </c>
      <c r="I5" s="12" t="n">
        <v>5</v>
      </c>
      <c r="J5" s="12" t="inlineStr">
        <is>
          <t>Ambos</t>
        </is>
      </c>
      <c r="K5" s="12" t="inlineStr">
        <is>
          <t>S2</t>
        </is>
      </c>
      <c r="L5" s="12" t="inlineStr">
        <is>
          <t>Bloqueado</t>
        </is>
      </c>
      <c r="M5" s="12" t="inlineStr">
        <is>
          <t>B01</t>
        </is>
      </c>
      <c r="N5" s="138" t="n">
        <v>46273</v>
      </c>
      <c r="O5" s="138" t="n">
        <v>46280</v>
      </c>
      <c r="P5" s="12" t="inlineStr">
        <is>
          <t>infra/devstack/setup-devstack.sh; docs/sprint2/BLOCKERS.md</t>
        </is>
      </c>
      <c r="Q5" s="12" t="inlineStr">
        <is>
          <t>DevStack preparado, stack.sh no ejecutado en esta estación.</t>
        </is>
      </c>
    </row>
    <row r="6">
      <c r="A6" s="130" t="inlineStr">
        <is>
          <t>B03</t>
        </is>
      </c>
      <c r="B6" s="12" t="inlineStr">
        <is>
          <t>E1: Infraestructura y entorno</t>
        </is>
      </c>
      <c r="C6" s="12" t="inlineStr">
        <is>
          <t>Tarea</t>
        </is>
      </c>
      <c r="D6" s="12" t="inlineStr">
        <is>
          <t>Crear y documentar smoke tests del OpenStack original</t>
        </is>
      </c>
      <c r="E6" s="12" t="inlineStr">
        <is>
          <t>OE2</t>
        </is>
      </c>
      <c r="F6" s="12" t="inlineStr">
        <is>
          <t>RF01</t>
        </is>
      </c>
      <c r="G6" s="12" t="inlineStr">
        <is>
          <t>Must</t>
        </is>
      </c>
      <c r="H6" s="12" t="inlineStr">
        <is>
          <t>La suite de smoke tests ejecuta correctamente todos los casos críticos definidos.</t>
        </is>
      </c>
      <c r="I6" s="12" t="n">
        <v>5</v>
      </c>
      <c r="J6" s="12" t="inlineStr">
        <is>
          <t>Ambos</t>
        </is>
      </c>
      <c r="K6" s="12" t="inlineStr">
        <is>
          <t>S2</t>
        </is>
      </c>
      <c r="L6" s="12" t="inlineStr">
        <is>
          <t>Bloqueado</t>
        </is>
      </c>
      <c r="M6" s="12" t="inlineStr">
        <is>
          <t>B02</t>
        </is>
      </c>
      <c r="N6" s="138" t="n">
        <v>46280</v>
      </c>
      <c r="O6" s="138" t="n">
        <v>46289</v>
      </c>
      <c r="P6" s="12" t="inlineStr">
        <is>
          <t>infra/devstack/smoke-test.sh; docs/sprint2/BLOCKERS.md</t>
        </is>
      </c>
      <c r="Q6" s="12" t="inlineStr">
        <is>
          <t>Suite preparada; sin DevStack para ejecutar ni aceptar casos.</t>
        </is>
      </c>
    </row>
    <row r="7">
      <c r="A7" s="130" t="inlineStr">
        <is>
          <t>B04</t>
        </is>
      </c>
      <c r="B7" s="12" t="inlineStr">
        <is>
          <t>E2: Análisis y compatibilidad</t>
        </is>
      </c>
      <c r="C7" s="12" t="inlineStr">
        <is>
          <t>Spike</t>
        </is>
      </c>
      <c r="D7" s="12" t="inlineStr">
        <is>
          <t>Analizar arquitectura interna de Placement</t>
        </is>
      </c>
      <c r="E7" s="12" t="inlineStr">
        <is>
          <t>OE1</t>
        </is>
      </c>
      <c r="F7" s="12" t="inlineStr">
        <is>
          <t>RF02</t>
        </is>
      </c>
      <c r="G7" s="12" t="inlineStr">
        <is>
          <t>Must</t>
        </is>
      </c>
      <c r="H7" s="12" t="inlineStr">
        <is>
          <t>Arquitectura, componentes y dependencias relevantes quedan documentados.</t>
        </is>
      </c>
      <c r="I7" s="12" t="n">
        <v>5</v>
      </c>
      <c r="J7" s="12" t="inlineStr">
        <is>
          <t>Paolo</t>
        </is>
      </c>
      <c r="K7" s="12" t="inlineStr">
        <is>
          <t>S2</t>
        </is>
      </c>
      <c r="L7" s="12" t="inlineStr">
        <is>
          <t>En progreso</t>
        </is>
      </c>
      <c r="M7" s="12" t="str"/>
      <c r="N7" s="138" t="n">
        <v>46270</v>
      </c>
      <c r="O7" s="138" t="n">
        <v>46283</v>
      </c>
      <c r="P7" s="12" t="inlineStr">
        <is>
          <t>docs/sprint2/placement-architecture.md; evidence/sprint2/placement/upstream-source-audit.txt</t>
        </is>
      </c>
      <c r="Q7" s="12" t="inlineStr">
        <is>
          <t>Arquitectura upstream inspeccionada; falta servicio real.</t>
        </is>
      </c>
    </row>
    <row r="8">
      <c r="A8" s="130" t="inlineStr">
        <is>
          <t>B05</t>
        </is>
      </c>
      <c r="B8" s="12" t="inlineStr">
        <is>
          <t>E2: Análisis y compatibilidad</t>
        </is>
      </c>
      <c r="C8" s="12" t="inlineStr">
        <is>
          <t>Tarea</t>
        </is>
      </c>
      <c r="D8" s="12" t="inlineStr">
        <is>
          <t>Documentar endpoints y microversiones requeridas</t>
        </is>
      </c>
      <c r="E8" s="12" t="inlineStr">
        <is>
          <t>OE1</t>
        </is>
      </c>
      <c r="F8" s="12" t="inlineStr">
        <is>
          <t>RF02</t>
        </is>
      </c>
      <c r="G8" s="12" t="inlineStr">
        <is>
          <t>Must</t>
        </is>
      </c>
      <c r="H8" s="12" t="inlineStr">
        <is>
          <t>Existe inventario de rutas y microversiones incluidas y excluidas del alcance.</t>
        </is>
      </c>
      <c r="I8" s="12" t="n">
        <v>5</v>
      </c>
      <c r="J8" s="12" t="inlineStr">
        <is>
          <t>Juan</t>
        </is>
      </c>
      <c r="K8" s="12" t="inlineStr">
        <is>
          <t>S2</t>
        </is>
      </c>
      <c r="L8" s="12" t="inlineStr">
        <is>
          <t>En progreso</t>
        </is>
      </c>
      <c r="M8" s="12" t="inlineStr">
        <is>
          <t>B04</t>
        </is>
      </c>
      <c r="N8" s="138" t="n">
        <v>46277</v>
      </c>
      <c r="O8" s="138" t="n">
        <v>46287</v>
      </c>
      <c r="P8" s="12" t="inlineStr">
        <is>
          <t>docs/sprint2/placement-api-scope.md; evidence/sprint2/placement/upstream-source-audit.txt</t>
        </is>
      </c>
      <c r="Q8" s="12" t="inlineStr">
        <is>
          <t>Inventario preliminar; faltan microversiones probadas y baseline.</t>
        </is>
      </c>
    </row>
    <row r="9">
      <c r="A9" s="130" t="inlineStr">
        <is>
          <t>B06</t>
        </is>
      </c>
      <c r="B9" s="12" t="inlineStr">
        <is>
          <t>E2: Análisis y compatibilidad</t>
        </is>
      </c>
      <c r="C9" s="12" t="inlineStr">
        <is>
          <t>Tarea</t>
        </is>
      </c>
      <c r="D9" s="12" t="inlineStr">
        <is>
          <t>Registrar interacción Nova → Placement</t>
        </is>
      </c>
      <c r="E9" s="12" t="inlineStr">
        <is>
          <t>OE1</t>
        </is>
      </c>
      <c r="F9" s="12" t="inlineStr">
        <is>
          <t>RF02</t>
        </is>
      </c>
      <c r="G9" s="12" t="inlineStr">
        <is>
          <t>Must</t>
        </is>
      </c>
      <c r="H9" s="12" t="inlineStr">
        <is>
          <t>Se documentan llamadas y datos intercambiados en los flujos críticos.</t>
        </is>
      </c>
      <c r="I9" s="12" t="n">
        <v>5</v>
      </c>
      <c r="J9" s="12" t="inlineStr">
        <is>
          <t>Ambos</t>
        </is>
      </c>
      <c r="K9" s="12" t="inlineStr">
        <is>
          <t>S2</t>
        </is>
      </c>
      <c r="L9" s="12" t="inlineStr">
        <is>
          <t>Bloqueado</t>
        </is>
      </c>
      <c r="M9" s="12" t="inlineStr">
        <is>
          <t>B02,B04</t>
        </is>
      </c>
      <c r="N9" s="138" t="n">
        <v>46283</v>
      </c>
      <c r="O9" s="138" t="n">
        <v>46293</v>
      </c>
      <c r="P9" s="12" t="inlineStr">
        <is>
          <t>docs/sprint2/nova-placement-flow.md; docs/sprint2/BLOCKERS.md</t>
        </is>
      </c>
      <c r="Q9" s="12" t="inlineStr">
        <is>
          <t>Código Nova inspeccionado; tráfico real no observado.</t>
        </is>
      </c>
    </row>
    <row r="10">
      <c r="A10" s="130" t="inlineStr">
        <is>
          <t>B07</t>
        </is>
      </c>
      <c r="B10" s="12" t="inlineStr">
        <is>
          <t>E3: Reimplementación Placement</t>
        </is>
      </c>
      <c r="C10" s="12" t="inlineStr">
        <is>
          <t>Historia</t>
        </is>
      </c>
      <c r="D10" s="12" t="inlineStr">
        <is>
          <t>Implementar Resource Providers e Inventories</t>
        </is>
      </c>
      <c r="E10" s="12" t="inlineStr">
        <is>
          <t>OE3</t>
        </is>
      </c>
      <c r="F10" s="12" t="inlineStr">
        <is>
          <t>RF03</t>
        </is>
      </c>
      <c r="G10" s="12" t="inlineStr">
        <is>
          <t>Must</t>
        </is>
      </c>
      <c r="H10" s="12" t="inlineStr">
        <is>
          <t>Operaciones priorizadas de providers e inventories superan las pruebas definidas.</t>
        </is>
      </c>
      <c r="I10" s="12" t="n">
        <v>8</v>
      </c>
      <c r="J10" s="12" t="inlineStr">
        <is>
          <t>Sin asignar</t>
        </is>
      </c>
      <c r="K10" s="12" t="inlineStr">
        <is>
          <t>S3</t>
        </is>
      </c>
      <c r="L10" s="12" t="inlineStr">
        <is>
          <t>Pendiente</t>
        </is>
      </c>
      <c r="M10" s="12" t="inlineStr">
        <is>
          <t>B05</t>
        </is>
      </c>
      <c r="N10" s="138" t="n">
        <v>46298</v>
      </c>
      <c r="O10" s="138" t="n">
        <v>46307</v>
      </c>
      <c r="P10" s="12" t="str"/>
      <c r="Q10" s="12" t="str"/>
    </row>
    <row r="11">
      <c r="A11" s="130" t="inlineStr">
        <is>
          <t>B08</t>
        </is>
      </c>
      <c r="B11" s="12" t="inlineStr">
        <is>
          <t>E3: Reimplementación Placement</t>
        </is>
      </c>
      <c r="C11" s="12" t="inlineStr">
        <is>
          <t>Historia</t>
        </is>
      </c>
      <c r="D11" s="12" t="inlineStr">
        <is>
          <t>Implementar Traits y Resource Classes</t>
        </is>
      </c>
      <c r="E11" s="12" t="inlineStr">
        <is>
          <t>OE3</t>
        </is>
      </c>
      <c r="F11" s="12" t="inlineStr">
        <is>
          <t>RF04</t>
        </is>
      </c>
      <c r="G11" s="12" t="inlineStr">
        <is>
          <t>Must</t>
        </is>
      </c>
      <c r="H11" s="12" t="inlineStr">
        <is>
          <t>Operaciones priorizadas de traits y resource classes superan las pruebas.</t>
        </is>
      </c>
      <c r="I11" s="12" t="n">
        <v>8</v>
      </c>
      <c r="J11" s="12" t="inlineStr">
        <is>
          <t>Sin asignar</t>
        </is>
      </c>
      <c r="K11" s="12" t="inlineStr">
        <is>
          <t>S3</t>
        </is>
      </c>
      <c r="L11" s="12" t="inlineStr">
        <is>
          <t>Pendiente</t>
        </is>
      </c>
      <c r="M11" s="12" t="inlineStr">
        <is>
          <t>B05</t>
        </is>
      </c>
      <c r="N11" s="138" t="n">
        <v>46302</v>
      </c>
      <c r="O11" s="138" t="n">
        <v>46311</v>
      </c>
      <c r="P11" s="12" t="str"/>
      <c r="Q11" s="12" t="str"/>
    </row>
    <row r="12">
      <c r="A12" s="130" t="inlineStr">
        <is>
          <t>B09</t>
        </is>
      </c>
      <c r="B12" s="12" t="inlineStr">
        <is>
          <t>E3: Reimplementación Placement</t>
        </is>
      </c>
      <c r="C12" s="12" t="inlineStr">
        <is>
          <t>Historia</t>
        </is>
      </c>
      <c r="D12" s="12" t="inlineStr">
        <is>
          <t>Implementar Allocations</t>
        </is>
      </c>
      <c r="E12" s="12" t="inlineStr">
        <is>
          <t>OE3</t>
        </is>
      </c>
      <c r="F12" s="12" t="inlineStr">
        <is>
          <t>RF05</t>
        </is>
      </c>
      <c r="G12" s="12" t="inlineStr">
        <is>
          <t>Must</t>
        </is>
      </c>
      <c r="H12" s="12" t="inlineStr">
        <is>
          <t>Las allocations priorizadas se crean, consultan y modifican correctamente.</t>
        </is>
      </c>
      <c r="I12" s="12" t="n">
        <v>8</v>
      </c>
      <c r="J12" s="12" t="inlineStr">
        <is>
          <t>Sin asignar</t>
        </is>
      </c>
      <c r="K12" s="12" t="inlineStr">
        <is>
          <t>S3</t>
        </is>
      </c>
      <c r="L12" s="12" t="inlineStr">
        <is>
          <t>Pendiente</t>
        </is>
      </c>
      <c r="M12" s="12" t="inlineStr">
        <is>
          <t>B07</t>
        </is>
      </c>
      <c r="N12" s="138" t="n">
        <v>46307</v>
      </c>
      <c r="O12" s="138" t="n">
        <v>46317</v>
      </c>
      <c r="P12" s="12" t="str"/>
      <c r="Q12" s="12" t="str"/>
    </row>
    <row r="13">
      <c r="A13" s="130" t="inlineStr">
        <is>
          <t>B10</t>
        </is>
      </c>
      <c r="B13" s="12" t="inlineStr">
        <is>
          <t>E3: Reimplementación Placement</t>
        </is>
      </c>
      <c r="C13" s="12" t="inlineStr">
        <is>
          <t>Historia</t>
        </is>
      </c>
      <c r="D13" s="12" t="inlineStr">
        <is>
          <t>Implementar Allocation Candidates</t>
        </is>
      </c>
      <c r="E13" s="12" t="inlineStr">
        <is>
          <t>OE3</t>
        </is>
      </c>
      <c r="F13" s="12" t="inlineStr">
        <is>
          <t>RF06</t>
        </is>
      </c>
      <c r="G13" s="12" t="inlineStr">
        <is>
          <t>Must</t>
        </is>
      </c>
      <c r="H13" s="12" t="inlineStr">
        <is>
          <t>Las consultas seleccionadas producen candidatos compatibles con la línea base.</t>
        </is>
      </c>
      <c r="I13" s="12" t="n">
        <v>13</v>
      </c>
      <c r="J13" s="12" t="inlineStr">
        <is>
          <t>Sin asignar</t>
        </is>
      </c>
      <c r="K13" s="12" t="inlineStr">
        <is>
          <t>S3</t>
        </is>
      </c>
      <c r="L13" s="12" t="inlineStr">
        <is>
          <t>Pendiente</t>
        </is>
      </c>
      <c r="M13" s="12" t="inlineStr">
        <is>
          <t>B07,B08,B09</t>
        </is>
      </c>
      <c r="N13" s="138" t="n">
        <v>46310</v>
      </c>
      <c r="O13" s="138" t="n">
        <v>46325</v>
      </c>
      <c r="P13" s="12" t="str"/>
      <c r="Q13" s="12" t="str"/>
    </row>
    <row r="14">
      <c r="A14" s="130" t="inlineStr">
        <is>
          <t>B11</t>
        </is>
      </c>
      <c r="B14" s="12" t="inlineStr">
        <is>
          <t>E3: Reimplementación Placement</t>
        </is>
      </c>
      <c r="C14" s="12" t="inlineStr">
        <is>
          <t>Tarea</t>
        </is>
      </c>
      <c r="D14" s="12" t="inlineStr">
        <is>
          <t>Implementar persistencia</t>
        </is>
      </c>
      <c r="E14" s="12" t="inlineStr">
        <is>
          <t>OE3</t>
        </is>
      </c>
      <c r="F14" s="12" t="inlineStr">
        <is>
          <t>RF07</t>
        </is>
      </c>
      <c r="G14" s="12" t="inlineStr">
        <is>
          <t>Must</t>
        </is>
      </c>
      <c r="H14" s="12" t="inlineStr">
        <is>
          <t>Los datos requeridos persisten y se recuperan correctamente.</t>
        </is>
      </c>
      <c r="I14" s="12" t="n">
        <v>8</v>
      </c>
      <c r="J14" s="12" t="inlineStr">
        <is>
          <t>Sin asignar</t>
        </is>
      </c>
      <c r="K14" s="12" t="inlineStr">
        <is>
          <t>S3</t>
        </is>
      </c>
      <c r="L14" s="12" t="inlineStr">
        <is>
          <t>Pendiente</t>
        </is>
      </c>
      <c r="M14" s="12" t="inlineStr">
        <is>
          <t>B07</t>
        </is>
      </c>
      <c r="N14" s="138" t="n">
        <v>46303</v>
      </c>
      <c r="O14" s="138" t="n">
        <v>46315</v>
      </c>
      <c r="P14" s="12" t="str"/>
      <c r="Q14" s="12" t="str"/>
    </row>
    <row r="15">
      <c r="A15" s="130" t="inlineStr">
        <is>
          <t>B12</t>
        </is>
      </c>
      <c r="B15" s="12" t="inlineStr">
        <is>
          <t>E3: Reimplementación Placement</t>
        </is>
      </c>
      <c r="C15" s="12" t="inlineStr">
        <is>
          <t>Tarea</t>
        </is>
      </c>
      <c r="D15" s="12" t="inlineStr">
        <is>
          <t>Integrar autenticación OpenStack</t>
        </is>
      </c>
      <c r="E15" s="12" t="inlineStr">
        <is>
          <t>OE3/OE4</t>
        </is>
      </c>
      <c r="F15" s="12" t="inlineStr">
        <is>
          <t>RF08</t>
        </is>
      </c>
      <c r="G15" s="12" t="inlineStr">
        <is>
          <t>Must</t>
        </is>
      </c>
      <c r="H15" s="12" t="inlineStr">
        <is>
          <t>Solicitudes autorizadas y no autorizadas cumplen los criterios definidos.</t>
        </is>
      </c>
      <c r="I15" s="12" t="n">
        <v>8</v>
      </c>
      <c r="J15" s="12" t="inlineStr">
        <is>
          <t>Sin asignar</t>
        </is>
      </c>
      <c r="K15" s="12" t="inlineStr">
        <is>
          <t>S3</t>
        </is>
      </c>
      <c r="L15" s="12" t="inlineStr">
        <is>
          <t>Pendiente</t>
        </is>
      </c>
      <c r="M15" s="12" t="inlineStr">
        <is>
          <t>B05</t>
        </is>
      </c>
      <c r="N15" s="138" t="n">
        <v>46313</v>
      </c>
      <c r="O15" s="138" t="n">
        <v>46325</v>
      </c>
      <c r="P15" s="12" t="str"/>
      <c r="Q15" s="12" t="str"/>
    </row>
    <row r="16">
      <c r="A16" s="130" t="inlineStr">
        <is>
          <t>B13</t>
        </is>
      </c>
      <c r="B16" s="12" t="inlineStr">
        <is>
          <t>E4: Integración OpenStack</t>
        </is>
      </c>
      <c r="C16" s="12" t="inlineStr">
        <is>
          <t>Historia</t>
        </is>
      </c>
      <c r="D16" s="12" t="inlineStr">
        <is>
          <t>Sustituir Placement original por la reimplementación</t>
        </is>
      </c>
      <c r="E16" s="12" t="inlineStr">
        <is>
          <t>OE4</t>
        </is>
      </c>
      <c r="F16" s="12" t="inlineStr">
        <is>
          <t>RF09</t>
        </is>
      </c>
      <c r="G16" s="12" t="inlineStr">
        <is>
          <t>Must</t>
        </is>
      </c>
      <c r="H16" s="12" t="inlineStr">
        <is>
          <t>Los consumidores definidos utilizan el nuevo servicio sin cambios sustanciales.</t>
        </is>
      </c>
      <c r="I16" s="12" t="n">
        <v>8</v>
      </c>
      <c r="J16" s="12" t="inlineStr">
        <is>
          <t>Ambos</t>
        </is>
      </c>
      <c r="K16" s="12" t="inlineStr">
        <is>
          <t>S4</t>
        </is>
      </c>
      <c r="L16" s="12" t="inlineStr">
        <is>
          <t>Pendiente</t>
        </is>
      </c>
      <c r="M16" s="12" t="inlineStr">
        <is>
          <t>B07,B08,B09,B10,B11,B12</t>
        </is>
      </c>
      <c r="N16" s="138" t="n">
        <v>46326</v>
      </c>
      <c r="O16" s="138" t="n">
        <v>46336</v>
      </c>
      <c r="P16" s="12" t="str"/>
      <c r="Q16" s="12" t="str"/>
    </row>
    <row r="17">
      <c r="A17" s="130" t="inlineStr">
        <is>
          <t>B14</t>
        </is>
      </c>
      <c r="B17" s="12" t="inlineStr">
        <is>
          <t>E4: Integración OpenStack</t>
        </is>
      </c>
      <c r="C17" s="12" t="inlineStr">
        <is>
          <t>Historia</t>
        </is>
      </c>
      <c r="D17" s="12" t="inlineStr">
        <is>
          <t>Crear instancia utilizando Placement reimplementado</t>
        </is>
      </c>
      <c r="E17" s="12" t="inlineStr">
        <is>
          <t>OE4</t>
        </is>
      </c>
      <c r="F17" s="12" t="inlineStr">
        <is>
          <t>RF09</t>
        </is>
      </c>
      <c r="G17" s="12" t="inlineStr">
        <is>
          <t>Must</t>
        </is>
      </c>
      <c r="H17" s="12" t="inlineStr">
        <is>
          <t>Una instancia OpenStack puede ser creada correctamente y el proceso utiliza la nueva implementación de Placement.</t>
        </is>
      </c>
      <c r="I17" s="12" t="n">
        <v>8</v>
      </c>
      <c r="J17" s="12" t="inlineStr">
        <is>
          <t>Ambos</t>
        </is>
      </c>
      <c r="K17" s="12" t="inlineStr">
        <is>
          <t>S4</t>
        </is>
      </c>
      <c r="L17" s="12" t="inlineStr">
        <is>
          <t>Pendiente</t>
        </is>
      </c>
      <c r="M17" s="12" t="inlineStr">
        <is>
          <t>B13</t>
        </is>
      </c>
      <c r="N17" s="138" t="n">
        <v>46334</v>
      </c>
      <c r="O17" s="138" t="n">
        <v>46341</v>
      </c>
      <c r="P17" s="12" t="str"/>
      <c r="Q17" s="12" t="str"/>
    </row>
    <row r="18">
      <c r="A18" s="130" t="inlineStr">
        <is>
          <t>B15</t>
        </is>
      </c>
      <c r="B18" s="12" t="inlineStr">
        <is>
          <t>E5: Pruebas y benchmarking</t>
        </is>
      </c>
      <c r="C18" s="12" t="inlineStr">
        <is>
          <t>Tarea</t>
        </is>
      </c>
      <c r="D18" s="12" t="inlineStr">
        <is>
          <t>Crear suite automática de pruebas de integración</t>
        </is>
      </c>
      <c r="E18" s="12" t="inlineStr">
        <is>
          <t>OE4/OE5</t>
        </is>
      </c>
      <c r="F18" s="12" t="inlineStr">
        <is>
          <t>RF12</t>
        </is>
      </c>
      <c r="G18" s="12" t="inlineStr">
        <is>
          <t>Must</t>
        </is>
      </c>
      <c r="H18" s="12" t="inlineStr">
        <is>
          <t>La suite se ejecuta de forma repetible y entrega resultados de los casos críticos.</t>
        </is>
      </c>
      <c r="I18" s="12" t="n">
        <v>8</v>
      </c>
      <c r="J18" s="12" t="inlineStr">
        <is>
          <t>Ambos</t>
        </is>
      </c>
      <c r="K18" s="12" t="inlineStr">
        <is>
          <t>S4</t>
        </is>
      </c>
      <c r="L18" s="12" t="inlineStr">
        <is>
          <t>Pendiente</t>
        </is>
      </c>
      <c r="M18" s="12" t="inlineStr">
        <is>
          <t>B13</t>
        </is>
      </c>
      <c r="N18" s="138" t="n">
        <v>46331</v>
      </c>
      <c r="O18" s="138" t="n">
        <v>46344</v>
      </c>
      <c r="P18" s="12" t="str"/>
      <c r="Q18" s="12" t="str"/>
    </row>
    <row r="19">
      <c r="A19" s="130" t="inlineStr">
        <is>
          <t>B16</t>
        </is>
      </c>
      <c r="B19" s="12" t="inlineStr">
        <is>
          <t>E5: Pruebas y benchmarking</t>
        </is>
      </c>
      <c r="C19" s="12" t="inlineStr">
        <is>
          <t>Tarea</t>
        </is>
      </c>
      <c r="D19" s="12" t="inlineStr">
        <is>
          <t>Crear metodología experimental de benchmarking</t>
        </is>
      </c>
      <c r="E19" s="12" t="inlineStr">
        <is>
          <t>OE5</t>
        </is>
      </c>
      <c r="F19" s="12" t="inlineStr">
        <is>
          <t>RNF02/RNF03</t>
        </is>
      </c>
      <c r="G19" s="12" t="inlineStr">
        <is>
          <t>Must</t>
        </is>
      </c>
      <c r="H19" s="12" t="inlineStr">
        <is>
          <t>Existe protocolo documentado de carga, repeticiones, métricas y ambiente.</t>
        </is>
      </c>
      <c r="I19" s="12" t="n">
        <v>5</v>
      </c>
      <c r="J19" s="12" t="inlineStr">
        <is>
          <t>Paolo</t>
        </is>
      </c>
      <c r="K19" s="12" t="inlineStr">
        <is>
          <t>S4</t>
        </is>
      </c>
      <c r="L19" s="12" t="inlineStr">
        <is>
          <t>Pendiente</t>
        </is>
      </c>
      <c r="M19" s="12" t="inlineStr">
        <is>
          <t>B03</t>
        </is>
      </c>
      <c r="N19" s="138" t="n">
        <v>46327</v>
      </c>
      <c r="O19" s="138" t="n">
        <v>46336</v>
      </c>
      <c r="P19" s="12" t="str"/>
      <c r="Q19" s="12" t="str"/>
    </row>
    <row r="20">
      <c r="A20" s="130" t="inlineStr">
        <is>
          <t>B17</t>
        </is>
      </c>
      <c r="B20" s="12" t="inlineStr">
        <is>
          <t>E5: Pruebas y benchmarking</t>
        </is>
      </c>
      <c r="C20" s="12" t="inlineStr">
        <is>
          <t>Tarea</t>
        </is>
      </c>
      <c r="D20" s="12" t="inlineStr">
        <is>
          <t>Medir latencia y throughput</t>
        </is>
      </c>
      <c r="E20" s="12" t="inlineStr">
        <is>
          <t>OE5</t>
        </is>
      </c>
      <c r="F20" s="12" t="inlineStr">
        <is>
          <t>RNF02</t>
        </is>
      </c>
      <c r="G20" s="12" t="inlineStr">
        <is>
          <t>Must</t>
        </is>
      </c>
      <c r="H20" s="12" t="inlineStr">
        <is>
          <t>Se obtienen mediciones comparables de ambas implementaciones.</t>
        </is>
      </c>
      <c r="I20" s="12" t="n">
        <v>5</v>
      </c>
      <c r="J20" s="12" t="inlineStr">
        <is>
          <t>Ambos</t>
        </is>
      </c>
      <c r="K20" s="12" t="inlineStr">
        <is>
          <t>S5</t>
        </is>
      </c>
      <c r="L20" s="12" t="inlineStr">
        <is>
          <t>Pendiente</t>
        </is>
      </c>
      <c r="M20" s="12" t="inlineStr">
        <is>
          <t>B14,B16</t>
        </is>
      </c>
      <c r="N20" s="138" t="n">
        <v>46347</v>
      </c>
      <c r="O20" s="138" t="n">
        <v>46354</v>
      </c>
      <c r="P20" s="12" t="str"/>
      <c r="Q20" s="12" t="str"/>
    </row>
    <row r="21">
      <c r="A21" s="130" t="inlineStr">
        <is>
          <t>B18</t>
        </is>
      </c>
      <c r="B21" s="12" t="inlineStr">
        <is>
          <t>E5: Pruebas y benchmarking</t>
        </is>
      </c>
      <c r="C21" s="12" t="inlineStr">
        <is>
          <t>Tarea</t>
        </is>
      </c>
      <c r="D21" s="12" t="inlineStr">
        <is>
          <t>Medir CPU y memoria</t>
        </is>
      </c>
      <c r="E21" s="12" t="inlineStr">
        <is>
          <t>OE5</t>
        </is>
      </c>
      <c r="F21" s="12" t="inlineStr">
        <is>
          <t>RNF03</t>
        </is>
      </c>
      <c r="G21" s="12" t="inlineStr">
        <is>
          <t>Must</t>
        </is>
      </c>
      <c r="H21" s="12" t="inlineStr">
        <is>
          <t>Se obtienen métricas comparables de CPU y RAM en escenarios definidos.</t>
        </is>
      </c>
      <c r="I21" s="12" t="n">
        <v>5</v>
      </c>
      <c r="J21" s="12" t="inlineStr">
        <is>
          <t>Ambos</t>
        </is>
      </c>
      <c r="K21" s="12" t="inlineStr">
        <is>
          <t>S5</t>
        </is>
      </c>
      <c r="L21" s="12" t="inlineStr">
        <is>
          <t>Pendiente</t>
        </is>
      </c>
      <c r="M21" s="12" t="inlineStr">
        <is>
          <t>B14,B16</t>
        </is>
      </c>
      <c r="N21" s="138" t="n">
        <v>46347</v>
      </c>
      <c r="O21" s="138" t="n">
        <v>46354</v>
      </c>
      <c r="P21" s="12" t="str"/>
      <c r="Q21" s="12" t="str"/>
    </row>
    <row r="22">
      <c r="A22" s="130" t="inlineStr">
        <is>
          <t>B19</t>
        </is>
      </c>
      <c r="B22" s="12" t="inlineStr">
        <is>
          <t>E6: Reimplementación Glance</t>
        </is>
      </c>
      <c r="C22" s="12" t="inlineStr">
        <is>
          <t>Spike</t>
        </is>
      </c>
      <c r="D22" s="12" t="inlineStr">
        <is>
          <t>Analizar arquitectura, Image API, autenticación, persistencia y flujo de datos de OpenStack Glance</t>
        </is>
      </c>
      <c r="E22" s="12" t="inlineStr">
        <is>
          <t>OE1</t>
        </is>
      </c>
      <c r="F22" s="12" t="inlineStr">
        <is>
          <t>RF10</t>
        </is>
      </c>
      <c r="G22" s="12" t="inlineStr">
        <is>
          <t>Must</t>
        </is>
      </c>
      <c r="H22" s="12" t="inlineStr">
        <is>
          <t>Existe una especificación del alcance de Glance con endpoints, estados de imagen, almacenamiento, autenticación y flujos de integración requeridos.</t>
        </is>
      </c>
      <c r="I22" s="12" t="n">
        <v>5</v>
      </c>
      <c r="J22" s="12" t="inlineStr">
        <is>
          <t>Ambos</t>
        </is>
      </c>
      <c r="K22" s="12" t="inlineStr">
        <is>
          <t>S2</t>
        </is>
      </c>
      <c r="L22" s="12" t="inlineStr">
        <is>
          <t>En progreso</t>
        </is>
      </c>
      <c r="M22" s="12" t="inlineStr">
        <is>
          <t>B02,B04</t>
        </is>
      </c>
      <c r="N22" s="138" t="n">
        <v>46285</v>
      </c>
      <c r="O22" s="138" t="n">
        <v>46297</v>
      </c>
      <c r="P22" s="12" t="inlineStr">
        <is>
          <t>docs/sprint2/glance-api-scope.md; docs/sprint2/glance-architecture.md; evidence/sprint2/glance/upstream-source-audit.txt</t>
        </is>
      </c>
      <c r="Q22" s="12" t="inlineStr">
        <is>
          <t>Diseño upstream disponible; falta backend y flujo reales.</t>
        </is>
      </c>
    </row>
    <row r="23">
      <c r="A23" s="130" t="inlineStr">
        <is>
          <t>B20</t>
        </is>
      </c>
      <c r="B23" s="12" t="inlineStr">
        <is>
          <t>E6: Reimplementación Glance</t>
        </is>
      </c>
      <c r="C23" s="12" t="inlineStr">
        <is>
          <t>Historia</t>
        </is>
      </c>
      <c r="D23" s="12" t="inlineStr">
        <is>
          <t>Implementar el catálogo mínimo de Glance: creación, listado, consulta, actualización y eliminación de metadatos de imágenes</t>
        </is>
      </c>
      <c r="E23" s="12" t="inlineStr">
        <is>
          <t>OE3/OE4</t>
        </is>
      </c>
      <c r="F23" s="12" t="inlineStr">
        <is>
          <t>RF10</t>
        </is>
      </c>
      <c r="G23" s="12" t="inlineStr">
        <is>
          <t>Must</t>
        </is>
      </c>
      <c r="H23" s="12" t="inlineStr">
        <is>
          <t>Las operaciones de metadatos priorizadas de Image API responden de forma compatible con la línea base.</t>
        </is>
      </c>
      <c r="I23" s="12" t="n">
        <v>13</v>
      </c>
      <c r="J23" s="12" t="inlineStr">
        <is>
          <t>Sin asignar</t>
        </is>
      </c>
      <c r="K23" s="12" t="inlineStr">
        <is>
          <t>S4</t>
        </is>
      </c>
      <c r="L23" s="12" t="inlineStr">
        <is>
          <t>Pendiente</t>
        </is>
      </c>
      <c r="M23" s="12" t="inlineStr">
        <is>
          <t>B19</t>
        </is>
      </c>
      <c r="N23" s="138" t="n">
        <v>46326</v>
      </c>
      <c r="O23" s="138" t="n">
        <v>46338</v>
      </c>
      <c r="P23" s="12" t="str"/>
      <c r="Q23" s="12" t="inlineStr">
        <is>
          <t>Alcance restringido a las operaciones utilizadas en el laboratorio.</t>
        </is>
      </c>
    </row>
    <row r="24">
      <c r="A24" s="130" t="inlineStr">
        <is>
          <t>B21</t>
        </is>
      </c>
      <c r="B24" s="12" t="inlineStr">
        <is>
          <t>E7: Documentación</t>
        </is>
      </c>
      <c r="C24" s="12" t="inlineStr">
        <is>
          <t>Tarea</t>
        </is>
      </c>
      <c r="D24" s="12" t="inlineStr">
        <is>
          <t>Documentar arquitectura y decisiones técnicas</t>
        </is>
      </c>
      <c r="E24" s="12" t="inlineStr">
        <is>
          <t>OE1/OE3</t>
        </is>
      </c>
      <c r="F24" s="12" t="inlineStr">
        <is>
          <t>RNF05/RNF06</t>
        </is>
      </c>
      <c r="G24" s="12" t="inlineStr">
        <is>
          <t>Must</t>
        </is>
      </c>
      <c r="H24" s="12" t="inlineStr">
        <is>
          <t>Las decisiones relevantes cuentan con contexto, alternativa y justificación.</t>
        </is>
      </c>
      <c r="I24" s="12" t="n">
        <v>5</v>
      </c>
      <c r="J24" s="12" t="inlineStr">
        <is>
          <t>Ambos</t>
        </is>
      </c>
      <c r="K24" s="12" t="inlineStr">
        <is>
          <t>S3</t>
        </is>
      </c>
      <c r="L24" s="12" t="inlineStr">
        <is>
          <t>En progreso</t>
        </is>
      </c>
      <c r="M24" s="12" t="str"/>
      <c r="N24" s="138" t="n">
        <v>46270</v>
      </c>
      <c r="O24" s="138" t="n">
        <v>46325</v>
      </c>
      <c r="P24" s="12" t="str"/>
      <c r="Q24" s="12" t="inlineStr">
        <is>
          <t>Actividad continua.</t>
        </is>
      </c>
    </row>
    <row r="25">
      <c r="A25" s="130" t="inlineStr">
        <is>
          <t>B22</t>
        </is>
      </c>
      <c r="B25" s="12" t="inlineStr">
        <is>
          <t>E7: Documentación</t>
        </is>
      </c>
      <c r="C25" s="12" t="inlineStr">
        <is>
          <t>Tarea</t>
        </is>
      </c>
      <c r="D25" s="12" t="inlineStr">
        <is>
          <t>Documentar instalación, despliegue y pruebas</t>
        </is>
      </c>
      <c r="E25" s="12" t="inlineStr">
        <is>
          <t>OE2/OE4/OE5</t>
        </is>
      </c>
      <c r="F25" s="12" t="inlineStr">
        <is>
          <t>RNF05</t>
        </is>
      </c>
      <c r="G25" s="12" t="inlineStr">
        <is>
          <t>Must</t>
        </is>
      </c>
      <c r="H25" s="12" t="inlineStr">
        <is>
          <t>Un tercero puede seguir las instrucciones para reproducir el entorno y pruebas.</t>
        </is>
      </c>
      <c r="I25" s="12" t="n">
        <v>5</v>
      </c>
      <c r="J25" s="12" t="inlineStr">
        <is>
          <t>Ambos</t>
        </is>
      </c>
      <c r="K25" s="12" t="inlineStr">
        <is>
          <t>S4</t>
        </is>
      </c>
      <c r="L25" s="12" t="inlineStr">
        <is>
          <t>Pendiente</t>
        </is>
      </c>
      <c r="M25" s="12" t="inlineStr">
        <is>
          <t>B02,B15</t>
        </is>
      </c>
      <c r="N25" s="138" t="n">
        <v>46280</v>
      </c>
      <c r="O25" s="138" t="n">
        <v>46346</v>
      </c>
      <c r="P25" s="12" t="str"/>
      <c r="Q25" s="12" t="inlineStr">
        <is>
          <t>Actividad continua.</t>
        </is>
      </c>
    </row>
    <row r="26">
      <c r="A26" s="130" t="inlineStr">
        <is>
          <t>B23</t>
        </is>
      </c>
      <c r="B26" s="12" t="inlineStr">
        <is>
          <t>E7: Documentación</t>
        </is>
      </c>
      <c r="C26" s="12" t="inlineStr">
        <is>
          <t>Tarea</t>
        </is>
      </c>
      <c r="D26" s="12" t="inlineStr">
        <is>
          <t>Preparar resultados finales y comparaciones</t>
        </is>
      </c>
      <c r="E26" s="12" t="inlineStr">
        <is>
          <t>OE5</t>
        </is>
      </c>
      <c r="F26" s="12" t="inlineStr">
        <is>
          <t>RNF02/RNF03</t>
        </is>
      </c>
      <c r="G26" s="12" t="inlineStr">
        <is>
          <t>Must</t>
        </is>
      </c>
      <c r="H26" s="12" t="inlineStr">
        <is>
          <t>Resultados presentados con tablas, gráficos y análisis comparativo.</t>
        </is>
      </c>
      <c r="I26" s="12" t="n">
        <v>8</v>
      </c>
      <c r="J26" s="12" t="inlineStr">
        <is>
          <t>Ambos</t>
        </is>
      </c>
      <c r="K26" s="12" t="inlineStr">
        <is>
          <t>S5</t>
        </is>
      </c>
      <c r="L26" s="12" t="inlineStr">
        <is>
          <t>Pendiente</t>
        </is>
      </c>
      <c r="M26" s="12" t="inlineStr">
        <is>
          <t>B17,B18</t>
        </is>
      </c>
      <c r="N26" s="138" t="n">
        <v>46353</v>
      </c>
      <c r="O26" s="138" t="n">
        <v>46358</v>
      </c>
      <c r="P26" s="12" t="str"/>
      <c r="Q26" s="12" t="str"/>
    </row>
    <row r="27">
      <c r="A27" s="130" t="inlineStr">
        <is>
          <t>B24</t>
        </is>
      </c>
      <c r="B27" s="12" t="inlineStr">
        <is>
          <t>E7: Documentación</t>
        </is>
      </c>
      <c r="C27" s="12" t="inlineStr">
        <is>
          <t>Tarea</t>
        </is>
      </c>
      <c r="D27" s="12" t="inlineStr">
        <is>
          <t>Preparar informe final</t>
        </is>
      </c>
      <c r="E27" s="12" t="inlineStr">
        <is>
          <t>OE5</t>
        </is>
      </c>
      <c r="F27" s="12" t="inlineStr">
        <is>
          <t>RNF05</t>
        </is>
      </c>
      <c r="G27" s="12" t="inlineStr">
        <is>
          <t>Must</t>
        </is>
      </c>
      <c r="H27" s="12" t="inlineStr">
        <is>
          <t>Informe final integra problema, requerimientos, diseño, implementación, pruebas y conclusiones.</t>
        </is>
      </c>
      <c r="I27" s="12" t="n">
        <v>8</v>
      </c>
      <c r="J27" s="12" t="inlineStr">
        <is>
          <t>Ambos</t>
        </is>
      </c>
      <c r="K27" s="12" t="inlineStr">
        <is>
          <t>S5</t>
        </is>
      </c>
      <c r="L27" s="12" t="inlineStr">
        <is>
          <t>Pendiente</t>
        </is>
      </c>
      <c r="M27" s="12" t="inlineStr">
        <is>
          <t>B23</t>
        </is>
      </c>
      <c r="N27" s="138" t="n">
        <v>46351</v>
      </c>
      <c r="O27" s="138" t="n">
        <v>46360</v>
      </c>
      <c r="P27" s="12" t="str"/>
      <c r="Q27" s="12" t="str"/>
    </row>
    <row r="28">
      <c r="A28" s="130" t="inlineStr">
        <is>
          <t>B25</t>
        </is>
      </c>
      <c r="B28" s="12" t="inlineStr">
        <is>
          <t>E6: Reimplementación Glance</t>
        </is>
      </c>
      <c r="C28" s="12" t="inlineStr">
        <is>
          <t>Historia</t>
        </is>
      </c>
      <c r="D28" s="12" t="inlineStr">
        <is>
          <t>Implementar carga y descarga de datos de imagen con un backend de almacenamiento acotado para el laboratorio</t>
        </is>
      </c>
      <c r="E28" s="12" t="inlineStr">
        <is>
          <t>OE3/OE4</t>
        </is>
      </c>
      <c r="F28" s="12" t="inlineStr">
        <is>
          <t>RF10</t>
        </is>
      </c>
      <c r="G28" s="12" t="inlineStr">
        <is>
          <t>Must</t>
        </is>
      </c>
      <c r="H28" s="12" t="inlineStr">
        <is>
          <t>Una imagen puede cargarse, persistirse y descargarse manteniendo estados y respuestas compatibles en los casos definidos.</t>
        </is>
      </c>
      <c r="I28" s="12" t="n">
        <v>13</v>
      </c>
      <c r="J28" s="12" t="inlineStr">
        <is>
          <t>Sin asignar</t>
        </is>
      </c>
      <c r="K28" s="12" t="inlineStr">
        <is>
          <t>S4</t>
        </is>
      </c>
      <c r="L28" s="12" t="inlineStr">
        <is>
          <t>Pendiente</t>
        </is>
      </c>
      <c r="M28" s="12" t="inlineStr">
        <is>
          <t>B20</t>
        </is>
      </c>
      <c r="N28" s="138" t="n">
        <v>46331</v>
      </c>
      <c r="O28" s="138" t="n">
        <v>46344</v>
      </c>
      <c r="P28" s="12" t="str"/>
      <c r="Q28" s="12" t="inlineStr">
        <is>
          <t>Se prioriza un backend único y reproducible; no se requiere compatibilidad con todos los stores de Glance.</t>
        </is>
      </c>
    </row>
    <row r="29">
      <c r="A29" s="130" t="inlineStr">
        <is>
          <t>B26</t>
        </is>
      </c>
      <c r="B29" s="12" t="inlineStr">
        <is>
          <t>E6: Reimplementación Glance</t>
        </is>
      </c>
      <c r="C29" s="12" t="inlineStr">
        <is>
          <t>Historia</t>
        </is>
      </c>
      <c r="D29" s="12" t="inlineStr">
        <is>
          <t>Sustituir Glance original y validar que Nova puede crear una instancia usando una imagen servida por la reimplementación</t>
        </is>
      </c>
      <c r="E29" s="12" t="inlineStr">
        <is>
          <t>OE4/OE5</t>
        </is>
      </c>
      <c r="F29" s="12" t="inlineStr">
        <is>
          <t>RF10</t>
        </is>
      </c>
      <c r="G29" s="12" t="inlineStr">
        <is>
          <t>Must</t>
        </is>
      </c>
      <c r="H29" s="12" t="inlineStr">
        <is>
          <t>El Glance original se detiene, la reimplementación queda operativa y una instancia se crea correctamente desde una imagen gestionada por ella.</t>
        </is>
      </c>
      <c r="I29" s="12" t="n">
        <v>8</v>
      </c>
      <c r="J29" s="12" t="inlineStr">
        <is>
          <t>Ambos</t>
        </is>
      </c>
      <c r="K29" s="12" t="inlineStr">
        <is>
          <t>S5</t>
        </is>
      </c>
      <c r="L29" s="12" t="inlineStr">
        <is>
          <t>Pendiente</t>
        </is>
      </c>
      <c r="M29" s="12" t="inlineStr">
        <is>
          <t>B20,B25,B14</t>
        </is>
      </c>
      <c r="N29" s="138" t="n">
        <v>46347</v>
      </c>
      <c r="O29" s="138" t="n">
        <v>46356</v>
      </c>
      <c r="P29" s="12" t="str"/>
      <c r="Q29" s="12" t="inlineStr">
        <is>
          <t>Prueba end-to-end principal del segundo servicio.</t>
        </is>
      </c>
    </row>
    <row r="30">
      <c r="A30" s="130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38" t="n"/>
      <c r="O30" s="138" t="n"/>
      <c r="P30" s="12" t="n"/>
      <c r="Q30" s="12" t="n"/>
    </row>
    <row r="31">
      <c r="A31" s="130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38" t="n"/>
      <c r="O31" s="138" t="n"/>
      <c r="P31" s="12" t="n"/>
      <c r="Q31" s="12" t="n"/>
    </row>
    <row r="32">
      <c r="A32" s="130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38" t="n"/>
      <c r="O32" s="138" t="n"/>
      <c r="P32" s="12" t="n"/>
      <c r="Q32" s="12" t="n"/>
    </row>
    <row r="33">
      <c r="A33" s="130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38" t="n"/>
      <c r="O33" s="138" t="n"/>
      <c r="P33" s="12" t="n"/>
      <c r="Q33" s="12" t="n"/>
    </row>
    <row r="34">
      <c r="A34" s="130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38" t="n"/>
      <c r="O34" s="138" t="n"/>
      <c r="P34" s="12" t="n"/>
      <c r="Q34" s="12" t="n"/>
    </row>
    <row r="35">
      <c r="A35" s="130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38" t="n"/>
      <c r="O35" s="138" t="n"/>
      <c r="P35" s="12" t="n"/>
      <c r="Q35" s="12" t="n"/>
    </row>
    <row r="36">
      <c r="A36" s="130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38" t="n"/>
      <c r="O36" s="138" t="n"/>
      <c r="P36" s="12" t="n"/>
      <c r="Q36" s="12" t="n"/>
    </row>
    <row r="37">
      <c r="A37" s="130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38" t="n"/>
      <c r="O37" s="138" t="n"/>
      <c r="P37" s="12" t="n"/>
      <c r="Q37" s="12" t="n"/>
    </row>
    <row r="38">
      <c r="A38" s="130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38" t="n"/>
      <c r="O38" s="138" t="n"/>
      <c r="P38" s="12" t="n"/>
      <c r="Q38" s="12" t="n"/>
    </row>
    <row r="39">
      <c r="A39" s="130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38" t="n"/>
      <c r="O39" s="138" t="n"/>
      <c r="P39" s="12" t="n"/>
      <c r="Q39" s="12" t="n"/>
    </row>
    <row r="40">
      <c r="A40" s="130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38" t="n"/>
      <c r="O40" s="138" t="n"/>
      <c r="P40" s="12" t="n"/>
      <c r="Q40" s="12" t="n"/>
    </row>
    <row r="41">
      <c r="A41" s="130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38" t="n"/>
      <c r="O41" s="138" t="n"/>
      <c r="P41" s="12" t="n"/>
      <c r="Q41" s="12" t="n"/>
    </row>
    <row r="42">
      <c r="A42" s="130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38" t="n"/>
      <c r="O42" s="138" t="n"/>
      <c r="P42" s="12" t="n"/>
      <c r="Q42" s="12" t="n"/>
    </row>
    <row r="43">
      <c r="A43" s="130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38" t="n"/>
      <c r="O43" s="138" t="n"/>
      <c r="P43" s="12" t="n"/>
      <c r="Q43" s="12" t="n"/>
    </row>
    <row r="44">
      <c r="A44" s="130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38" t="n"/>
      <c r="O44" s="138" t="n"/>
      <c r="P44" s="12" t="n"/>
      <c r="Q44" s="12" t="n"/>
    </row>
    <row r="45">
      <c r="A45" s="130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38" t="n"/>
      <c r="O45" s="138" t="n"/>
      <c r="P45" s="12" t="n"/>
      <c r="Q45" s="12" t="n"/>
    </row>
    <row r="46">
      <c r="A46" s="130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38" t="n"/>
      <c r="O46" s="138" t="n"/>
      <c r="P46" s="12" t="n"/>
      <c r="Q46" s="12" t="n"/>
    </row>
    <row r="47">
      <c r="A47" s="130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38" t="n"/>
      <c r="O47" s="138" t="n"/>
      <c r="P47" s="12" t="n"/>
      <c r="Q47" s="12" t="n"/>
    </row>
    <row r="48">
      <c r="A48" s="130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38" t="n"/>
      <c r="O48" s="138" t="n"/>
      <c r="P48" s="12" t="n"/>
      <c r="Q48" s="12" t="n"/>
    </row>
    <row r="49">
      <c r="A49" s="130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38" t="n"/>
      <c r="O49" s="138" t="n"/>
      <c r="P49" s="12" t="n"/>
      <c r="Q49" s="12" t="n"/>
    </row>
    <row r="50">
      <c r="A50" s="130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38" t="n"/>
      <c r="O50" s="138" t="n"/>
      <c r="P50" s="12" t="n"/>
      <c r="Q50" s="12" t="n"/>
    </row>
    <row r="51">
      <c r="A51" s="130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38" t="n"/>
      <c r="O51" s="138" t="n"/>
      <c r="P51" s="12" t="n"/>
      <c r="Q51" s="12" t="n"/>
    </row>
    <row r="52">
      <c r="A52" s="130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38" t="n"/>
      <c r="O52" s="138" t="n"/>
      <c r="P52" s="12" t="n"/>
      <c r="Q52" s="12" t="n"/>
    </row>
    <row r="53">
      <c r="A53" s="130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38" t="n"/>
      <c r="O53" s="138" t="n"/>
      <c r="P53" s="12" t="n"/>
      <c r="Q53" s="12" t="n"/>
    </row>
    <row r="54">
      <c r="A54" s="130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38" t="n"/>
      <c r="O54" s="138" t="n"/>
      <c r="P54" s="12" t="n"/>
      <c r="Q54" s="12" t="n"/>
    </row>
    <row r="55">
      <c r="A55" s="130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38" t="n"/>
      <c r="O55" s="138" t="n"/>
      <c r="P55" s="12" t="n"/>
      <c r="Q55" s="12" t="n"/>
    </row>
    <row r="56">
      <c r="A56" s="130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38" t="n"/>
      <c r="O56" s="138" t="n"/>
      <c r="P56" s="12" t="n"/>
      <c r="Q56" s="12" t="n"/>
    </row>
    <row r="57">
      <c r="A57" s="130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38" t="n"/>
      <c r="O57" s="138" t="n"/>
      <c r="P57" s="12" t="n"/>
      <c r="Q57" s="12" t="n"/>
    </row>
    <row r="58">
      <c r="A58" s="130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38" t="n"/>
      <c r="O58" s="138" t="n"/>
      <c r="P58" s="12" t="n"/>
      <c r="Q58" s="12" t="n"/>
    </row>
    <row r="59">
      <c r="A59" s="130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38" t="n"/>
      <c r="O59" s="138" t="n"/>
      <c r="P59" s="12" t="n"/>
      <c r="Q59" s="12" t="n"/>
    </row>
    <row r="60">
      <c r="A60" s="130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38" t="n"/>
      <c r="O60" s="138" t="n"/>
      <c r="P60" s="12" t="n"/>
      <c r="Q60" s="12" t="n"/>
    </row>
    <row r="61">
      <c r="A61" s="130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38" t="n"/>
      <c r="O61" s="138" t="n"/>
      <c r="P61" s="12" t="n"/>
      <c r="Q61" s="12" t="n"/>
    </row>
    <row r="62">
      <c r="A62" s="130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38" t="n"/>
      <c r="O62" s="138" t="n"/>
      <c r="P62" s="12" t="n"/>
      <c r="Q62" s="12" t="n"/>
    </row>
    <row r="63">
      <c r="A63" s="130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38" t="n"/>
      <c r="O63" s="138" t="n"/>
      <c r="P63" s="12" t="n"/>
      <c r="Q63" s="12" t="n"/>
    </row>
    <row r="64">
      <c r="A64" s="130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38" t="n"/>
      <c r="O64" s="138" t="n"/>
      <c r="P64" s="12" t="n"/>
      <c r="Q64" s="12" t="n"/>
    </row>
    <row r="65">
      <c r="A65" s="130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38" t="n"/>
      <c r="O65" s="138" t="n"/>
      <c r="P65" s="12" t="n"/>
      <c r="Q65" s="12" t="n"/>
    </row>
    <row r="66">
      <c r="A66" s="130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38" t="n"/>
      <c r="O66" s="138" t="n"/>
      <c r="P66" s="12" t="n"/>
      <c r="Q66" s="12" t="n"/>
    </row>
    <row r="67">
      <c r="A67" s="130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38" t="n"/>
      <c r="O67" s="138" t="n"/>
      <c r="P67" s="12" t="n"/>
      <c r="Q67" s="12" t="n"/>
    </row>
    <row r="68">
      <c r="A68" s="130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38" t="n"/>
      <c r="O68" s="138" t="n"/>
      <c r="P68" s="12" t="n"/>
      <c r="Q68" s="12" t="n"/>
    </row>
    <row r="69">
      <c r="A69" s="130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38" t="n"/>
      <c r="O69" s="138" t="n"/>
      <c r="P69" s="12" t="n"/>
      <c r="Q69" s="12" t="n"/>
    </row>
    <row r="70">
      <c r="A70" s="130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38" t="n"/>
      <c r="O70" s="138" t="n"/>
      <c r="P70" s="12" t="n"/>
      <c r="Q70" s="12" t="n"/>
    </row>
    <row r="71">
      <c r="A71" s="130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38" t="n"/>
      <c r="O71" s="138" t="n"/>
      <c r="P71" s="12" t="n"/>
      <c r="Q71" s="12" t="n"/>
    </row>
    <row r="72">
      <c r="A72" s="130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38" t="n"/>
      <c r="O72" s="138" t="n"/>
      <c r="P72" s="12" t="n"/>
      <c r="Q72" s="12" t="n"/>
    </row>
    <row r="73">
      <c r="A73" s="130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38" t="n"/>
      <c r="O73" s="138" t="n"/>
      <c r="P73" s="12" t="n"/>
      <c r="Q73" s="12" t="n"/>
    </row>
    <row r="74">
      <c r="A74" s="130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38" t="n"/>
      <c r="O74" s="138" t="n"/>
      <c r="P74" s="12" t="n"/>
      <c r="Q74" s="12" t="n"/>
    </row>
    <row r="75">
      <c r="A75" s="130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38" t="n"/>
      <c r="O75" s="138" t="n"/>
      <c r="P75" s="12" t="n"/>
      <c r="Q75" s="12" t="n"/>
    </row>
    <row r="76">
      <c r="A76" s="130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38" t="n"/>
      <c r="O76" s="138" t="n"/>
      <c r="P76" s="12" t="n"/>
      <c r="Q76" s="12" t="n"/>
    </row>
    <row r="77">
      <c r="A77" s="130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38" t="n"/>
      <c r="O77" s="138" t="n"/>
      <c r="P77" s="12" t="n"/>
      <c r="Q77" s="12" t="n"/>
    </row>
    <row r="78">
      <c r="A78" s="130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38" t="n"/>
      <c r="O78" s="138" t="n"/>
      <c r="P78" s="12" t="n"/>
      <c r="Q78" s="12" t="n"/>
    </row>
    <row r="79">
      <c r="A79" s="130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38" t="n"/>
      <c r="O79" s="138" t="n"/>
      <c r="P79" s="12" t="n"/>
      <c r="Q79" s="12" t="n"/>
    </row>
    <row r="80">
      <c r="A80" s="130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38" t="n"/>
      <c r="O80" s="138" t="n"/>
      <c r="P80" s="12" t="n"/>
      <c r="Q80" s="12" t="n"/>
    </row>
    <row r="81">
      <c r="A81" s="130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38" t="n"/>
      <c r="O81" s="138" t="n"/>
      <c r="P81" s="12" t="n"/>
      <c r="Q81" s="12" t="n"/>
    </row>
    <row r="82">
      <c r="A82" s="130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38" t="n"/>
      <c r="O82" s="138" t="n"/>
      <c r="P82" s="12" t="n"/>
      <c r="Q82" s="12" t="n"/>
    </row>
    <row r="83">
      <c r="A83" s="130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38" t="n"/>
      <c r="O83" s="138" t="n"/>
      <c r="P83" s="12" t="n"/>
      <c r="Q83" s="12" t="n"/>
    </row>
    <row r="84">
      <c r="A84" s="130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38" t="n"/>
      <c r="O84" s="138" t="n"/>
      <c r="P84" s="12" t="n"/>
      <c r="Q84" s="12" t="n"/>
    </row>
    <row r="85">
      <c r="A85" s="130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38" t="n"/>
      <c r="O85" s="138" t="n"/>
      <c r="P85" s="12" t="n"/>
      <c r="Q85" s="12" t="n"/>
    </row>
    <row r="86">
      <c r="A86" s="130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38" t="n"/>
      <c r="O86" s="138" t="n"/>
      <c r="P86" s="12" t="n"/>
      <c r="Q86" s="12" t="n"/>
    </row>
    <row r="87">
      <c r="A87" s="130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38" t="n"/>
      <c r="O87" s="138" t="n"/>
      <c r="P87" s="12" t="n"/>
      <c r="Q87" s="12" t="n"/>
    </row>
    <row r="88">
      <c r="A88" s="130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38" t="n"/>
      <c r="O88" s="138" t="n"/>
      <c r="P88" s="12" t="n"/>
      <c r="Q88" s="12" t="n"/>
    </row>
    <row r="89">
      <c r="A89" s="130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38" t="n"/>
      <c r="O89" s="138" t="n"/>
      <c r="P89" s="12" t="n"/>
      <c r="Q89" s="12" t="n"/>
    </row>
    <row r="90">
      <c r="A90" s="130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38" t="n"/>
      <c r="O90" s="138" t="n"/>
      <c r="P90" s="12" t="n"/>
      <c r="Q90" s="12" t="n"/>
    </row>
    <row r="91">
      <c r="A91" s="130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38" t="n"/>
      <c r="O91" s="138" t="n"/>
      <c r="P91" s="12" t="n"/>
      <c r="Q91" s="12" t="n"/>
    </row>
    <row r="92">
      <c r="A92" s="130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38" t="n"/>
      <c r="O92" s="138" t="n"/>
      <c r="P92" s="12" t="n"/>
      <c r="Q92" s="12" t="n"/>
    </row>
    <row r="93">
      <c r="A93" s="130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38" t="n"/>
      <c r="O93" s="138" t="n"/>
      <c r="P93" s="12" t="n"/>
      <c r="Q93" s="12" t="n"/>
    </row>
    <row r="94">
      <c r="A94" s="130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38" t="n"/>
      <c r="O94" s="138" t="n"/>
      <c r="P94" s="12" t="n"/>
      <c r="Q94" s="12" t="n"/>
    </row>
    <row r="95">
      <c r="A95" s="130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38" t="n"/>
      <c r="O95" s="138" t="n"/>
      <c r="P95" s="12" t="n"/>
      <c r="Q95" s="12" t="n"/>
    </row>
    <row r="96">
      <c r="A96" s="130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38" t="n"/>
      <c r="O96" s="138" t="n"/>
      <c r="P96" s="12" t="n"/>
      <c r="Q96" s="12" t="n"/>
    </row>
    <row r="97">
      <c r="A97" s="130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38" t="n"/>
      <c r="O97" s="138" t="n"/>
      <c r="P97" s="12" t="n"/>
      <c r="Q97" s="12" t="n"/>
    </row>
    <row r="98">
      <c r="A98" s="130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38" t="n"/>
      <c r="O98" s="138" t="n"/>
      <c r="P98" s="12" t="n"/>
      <c r="Q98" s="12" t="n"/>
    </row>
    <row r="99">
      <c r="A99" s="130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38" t="n"/>
      <c r="O99" s="138" t="n"/>
      <c r="P99" s="12" t="n"/>
      <c r="Q99" s="12" t="n"/>
    </row>
    <row r="100">
      <c r="A100" s="130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38" t="n"/>
      <c r="O100" s="138" t="n"/>
      <c r="P100" s="12" t="n"/>
      <c r="Q100" s="12" t="n"/>
    </row>
    <row r="101">
      <c r="A101" s="130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38" t="n"/>
      <c r="O101" s="138" t="n"/>
      <c r="P101" s="12" t="n"/>
      <c r="Q101" s="12" t="n"/>
    </row>
    <row r="102">
      <c r="A102" s="130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38" t="n"/>
      <c r="O102" s="138" t="n"/>
      <c r="P102" s="12" t="n"/>
      <c r="Q102" s="12" t="n"/>
    </row>
    <row r="103">
      <c r="A103" s="130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38" t="n"/>
      <c r="O103" s="138" t="n"/>
      <c r="P103" s="12" t="n"/>
      <c r="Q103" s="12" t="n"/>
    </row>
    <row r="104">
      <c r="A104" s="130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38" t="n"/>
      <c r="O104" s="138" t="n"/>
      <c r="P104" s="12" t="n"/>
      <c r="Q104" s="12" t="n"/>
    </row>
    <row r="105">
      <c r="A105" s="130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38" t="n"/>
      <c r="O105" s="138" t="n"/>
      <c r="P105" s="12" t="n"/>
      <c r="Q105" s="12" t="n"/>
    </row>
    <row r="106">
      <c r="A106" s="130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38" t="n"/>
      <c r="O106" s="138" t="n"/>
      <c r="P106" s="12" t="n"/>
      <c r="Q106" s="12" t="n"/>
    </row>
    <row r="107">
      <c r="A107" s="130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38" t="n"/>
      <c r="O107" s="138" t="n"/>
      <c r="P107" s="12" t="n"/>
      <c r="Q107" s="12" t="n"/>
    </row>
    <row r="108">
      <c r="A108" s="130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38" t="n"/>
      <c r="O108" s="138" t="n"/>
      <c r="P108" s="12" t="n"/>
      <c r="Q108" s="12" t="n"/>
    </row>
    <row r="109">
      <c r="A109" s="130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38" t="n"/>
      <c r="O109" s="138" t="n"/>
      <c r="P109" s="12" t="n"/>
      <c r="Q109" s="12" t="n"/>
    </row>
    <row r="110">
      <c r="A110" s="130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38" t="n"/>
      <c r="O110" s="138" t="n"/>
      <c r="P110" s="12" t="n"/>
      <c r="Q110" s="12" t="n"/>
    </row>
    <row r="111">
      <c r="A111" s="130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38" t="n"/>
      <c r="O111" s="138" t="n"/>
      <c r="P111" s="12" t="n"/>
      <c r="Q111" s="12" t="n"/>
    </row>
    <row r="112">
      <c r="A112" s="130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38" t="n"/>
      <c r="O112" s="138" t="n"/>
      <c r="P112" s="12" t="n"/>
      <c r="Q112" s="12" t="n"/>
    </row>
    <row r="113">
      <c r="A113" s="130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38" t="n"/>
      <c r="O113" s="138" t="n"/>
      <c r="P113" s="12" t="n"/>
      <c r="Q113" s="12" t="n"/>
    </row>
    <row r="114">
      <c r="A114" s="130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38" t="n"/>
      <c r="O114" s="138" t="n"/>
      <c r="P114" s="12" t="n"/>
      <c r="Q114" s="12" t="n"/>
    </row>
    <row r="115">
      <c r="A115" s="130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38" t="n"/>
      <c r="O115" s="138" t="n"/>
      <c r="P115" s="12" t="n"/>
      <c r="Q115" s="12" t="n"/>
    </row>
    <row r="116">
      <c r="A116" s="130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38" t="n"/>
      <c r="O116" s="138" t="n"/>
      <c r="P116" s="12" t="n"/>
      <c r="Q116" s="12" t="n"/>
    </row>
    <row r="117">
      <c r="A117" s="130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38" t="n"/>
      <c r="O117" s="138" t="n"/>
      <c r="P117" s="12" t="n"/>
      <c r="Q117" s="12" t="n"/>
    </row>
    <row r="118">
      <c r="A118" s="130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38" t="n"/>
      <c r="O118" s="138" t="n"/>
      <c r="P118" s="12" t="n"/>
      <c r="Q118" s="12" t="n"/>
    </row>
    <row r="119">
      <c r="A119" s="130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38" t="n"/>
      <c r="O119" s="138" t="n"/>
      <c r="P119" s="12" t="n"/>
      <c r="Q119" s="12" t="n"/>
    </row>
    <row r="120">
      <c r="A120" s="130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38" t="n"/>
      <c r="O120" s="138" t="n"/>
      <c r="P120" s="12" t="n"/>
      <c r="Q120" s="12" t="n"/>
    </row>
    <row r="121">
      <c r="A121" s="130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38" t="n"/>
      <c r="O121" s="138" t="n"/>
      <c r="P121" s="12" t="n"/>
      <c r="Q121" s="12" t="n"/>
    </row>
    <row r="122">
      <c r="A122" s="130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38" t="n"/>
      <c r="O122" s="138" t="n"/>
      <c r="P122" s="12" t="n"/>
      <c r="Q122" s="12" t="n"/>
    </row>
    <row r="123">
      <c r="A123" s="130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38" t="n"/>
      <c r="O123" s="138" t="n"/>
      <c r="P123" s="12" t="n"/>
      <c r="Q123" s="12" t="n"/>
    </row>
    <row r="124">
      <c r="A124" s="130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38" t="n"/>
      <c r="O124" s="138" t="n"/>
      <c r="P124" s="12" t="n"/>
      <c r="Q124" s="12" t="n"/>
    </row>
    <row r="125">
      <c r="A125" s="130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38" t="n"/>
      <c r="O125" s="138" t="n"/>
      <c r="P125" s="12" t="n"/>
      <c r="Q125" s="12" t="n"/>
    </row>
    <row r="126">
      <c r="A126" s="130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38" t="n"/>
      <c r="O126" s="138" t="n"/>
      <c r="P126" s="12" t="n"/>
      <c r="Q126" s="12" t="n"/>
    </row>
    <row r="127">
      <c r="A127" s="130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38" t="n"/>
      <c r="O127" s="138" t="n"/>
      <c r="P127" s="12" t="n"/>
      <c r="Q127" s="12" t="n"/>
    </row>
    <row r="128">
      <c r="A128" s="130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38" t="n"/>
      <c r="O128" s="138" t="n"/>
      <c r="P128" s="12" t="n"/>
      <c r="Q128" s="12" t="n"/>
    </row>
    <row r="129">
      <c r="A129" s="130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38" t="n"/>
      <c r="O129" s="138" t="n"/>
      <c r="P129" s="12" t="n"/>
      <c r="Q129" s="12" t="n"/>
    </row>
    <row r="130">
      <c r="A130" s="130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38" t="n"/>
      <c r="O130" s="138" t="n"/>
      <c r="P130" s="12" t="n"/>
      <c r="Q130" s="12" t="n"/>
    </row>
    <row r="131">
      <c r="A131" s="130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38" t="n"/>
      <c r="O131" s="138" t="n"/>
      <c r="P131" s="12" t="n"/>
      <c r="Q131" s="12" t="n"/>
    </row>
    <row r="132">
      <c r="A132" s="130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38" t="n"/>
      <c r="O132" s="138" t="n"/>
      <c r="P132" s="12" t="n"/>
      <c r="Q132" s="12" t="n"/>
    </row>
    <row r="133">
      <c r="A133" s="130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38" t="n"/>
      <c r="O133" s="138" t="n"/>
      <c r="P133" s="12" t="n"/>
      <c r="Q133" s="12" t="n"/>
    </row>
    <row r="134">
      <c r="A134" s="130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38" t="n"/>
      <c r="O134" s="138" t="n"/>
      <c r="P134" s="12" t="n"/>
      <c r="Q134" s="12" t="n"/>
    </row>
    <row r="135">
      <c r="A135" s="130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38" t="n"/>
      <c r="O135" s="138" t="n"/>
      <c r="P135" s="12" t="n"/>
      <c r="Q135" s="12" t="n"/>
    </row>
    <row r="136">
      <c r="A136" s="130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38" t="n"/>
      <c r="O136" s="138" t="n"/>
      <c r="P136" s="12" t="n"/>
      <c r="Q136" s="12" t="n"/>
    </row>
    <row r="137">
      <c r="A137" s="130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38" t="n"/>
      <c r="O137" s="138" t="n"/>
      <c r="P137" s="12" t="n"/>
      <c r="Q137" s="12" t="n"/>
    </row>
    <row r="138">
      <c r="A138" s="130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38" t="n"/>
      <c r="O138" s="138" t="n"/>
      <c r="P138" s="12" t="n"/>
      <c r="Q138" s="12" t="n"/>
    </row>
    <row r="139">
      <c r="A139" s="130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38" t="n"/>
      <c r="O139" s="138" t="n"/>
      <c r="P139" s="12" t="n"/>
      <c r="Q139" s="12" t="n"/>
    </row>
    <row r="140">
      <c r="A140" s="130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38" t="n"/>
      <c r="O140" s="138" t="n"/>
      <c r="P140" s="12" t="n"/>
      <c r="Q140" s="12" t="n"/>
    </row>
    <row r="141">
      <c r="A141" s="130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38" t="n"/>
      <c r="O141" s="138" t="n"/>
      <c r="P141" s="12" t="n"/>
      <c r="Q141" s="12" t="n"/>
    </row>
    <row r="142">
      <c r="A142" s="130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38" t="n"/>
      <c r="O142" s="138" t="n"/>
      <c r="P142" s="12" t="n"/>
      <c r="Q142" s="12" t="n"/>
    </row>
    <row r="143">
      <c r="A143" s="130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38" t="n"/>
      <c r="O143" s="138" t="n"/>
      <c r="P143" s="12" t="n"/>
      <c r="Q143" s="12" t="n"/>
    </row>
    <row r="144">
      <c r="A144" s="130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38" t="n"/>
      <c r="O144" s="138" t="n"/>
      <c r="P144" s="12" t="n"/>
      <c r="Q144" s="12" t="n"/>
    </row>
    <row r="145">
      <c r="A145" s="130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38" t="n"/>
      <c r="O145" s="138" t="n"/>
      <c r="P145" s="12" t="n"/>
      <c r="Q145" s="12" t="n"/>
    </row>
    <row r="146">
      <c r="A146" s="130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38" t="n"/>
      <c r="O146" s="138" t="n"/>
      <c r="P146" s="12" t="n"/>
      <c r="Q146" s="12" t="n"/>
    </row>
    <row r="147">
      <c r="A147" s="130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38" t="n"/>
      <c r="O147" s="138" t="n"/>
      <c r="P147" s="12" t="n"/>
      <c r="Q147" s="12" t="n"/>
    </row>
    <row r="148">
      <c r="A148" s="130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38" t="n"/>
      <c r="O148" s="138" t="n"/>
      <c r="P148" s="12" t="n"/>
      <c r="Q148" s="12" t="n"/>
    </row>
    <row r="149">
      <c r="A149" s="130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38" t="n"/>
      <c r="O149" s="138" t="n"/>
      <c r="P149" s="12" t="n"/>
      <c r="Q149" s="12" t="n"/>
    </row>
    <row r="150">
      <c r="A150" s="130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38" t="n"/>
      <c r="O150" s="138" t="n"/>
      <c r="P150" s="12" t="n"/>
      <c r="Q150" s="12" t="n"/>
    </row>
    <row r="151">
      <c r="A151" s="130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38" t="n"/>
      <c r="O151" s="138" t="n"/>
      <c r="P151" s="12" t="n"/>
      <c r="Q151" s="12" t="n"/>
    </row>
    <row r="152">
      <c r="A152" s="130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38" t="n"/>
      <c r="O152" s="138" t="n"/>
      <c r="P152" s="12" t="n"/>
      <c r="Q152" s="12" t="n"/>
    </row>
    <row r="153">
      <c r="A153" s="130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38" t="n"/>
      <c r="O153" s="138" t="n"/>
      <c r="P153" s="12" t="n"/>
      <c r="Q153" s="12" t="n"/>
    </row>
    <row r="154">
      <c r="A154" s="130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38" t="n"/>
      <c r="O154" s="138" t="n"/>
      <c r="P154" s="12" t="n"/>
      <c r="Q154" s="12" t="n"/>
    </row>
    <row r="155">
      <c r="A155" s="130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38" t="n"/>
      <c r="O155" s="138" t="n"/>
      <c r="P155" s="12" t="n"/>
      <c r="Q155" s="12" t="n"/>
    </row>
    <row r="156">
      <c r="A156" s="130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38" t="n"/>
      <c r="O156" s="138" t="n"/>
      <c r="P156" s="12" t="n"/>
      <c r="Q156" s="12" t="n"/>
    </row>
    <row r="157">
      <c r="A157" s="130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38" t="n"/>
      <c r="O157" s="138" t="n"/>
      <c r="P157" s="12" t="n"/>
      <c r="Q157" s="12" t="n"/>
    </row>
    <row r="158">
      <c r="A158" s="130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38" t="n"/>
      <c r="O158" s="138" t="n"/>
      <c r="P158" s="12" t="n"/>
      <c r="Q158" s="12" t="n"/>
    </row>
    <row r="159">
      <c r="A159" s="130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38" t="n"/>
      <c r="O159" s="138" t="n"/>
      <c r="P159" s="12" t="n"/>
      <c r="Q159" s="12" t="n"/>
    </row>
    <row r="160">
      <c r="A160" s="130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38" t="n"/>
      <c r="O160" s="138" t="n"/>
      <c r="P160" s="12" t="n"/>
      <c r="Q160" s="12" t="n"/>
    </row>
    <row r="161">
      <c r="A161" s="130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38" t="n"/>
      <c r="O161" s="138" t="n"/>
      <c r="P161" s="12" t="n"/>
      <c r="Q161" s="12" t="n"/>
    </row>
    <row r="162">
      <c r="A162" s="130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38" t="n"/>
      <c r="O162" s="138" t="n"/>
      <c r="P162" s="12" t="n"/>
      <c r="Q162" s="12" t="n"/>
    </row>
    <row r="163">
      <c r="A163" s="130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38" t="n"/>
      <c r="O163" s="138" t="n"/>
      <c r="P163" s="12" t="n"/>
      <c r="Q163" s="12" t="n"/>
    </row>
    <row r="164">
      <c r="A164" s="130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38" t="n"/>
      <c r="O164" s="138" t="n"/>
      <c r="P164" s="12" t="n"/>
      <c r="Q164" s="12" t="n"/>
    </row>
    <row r="165">
      <c r="A165" s="130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38" t="n"/>
      <c r="O165" s="138" t="n"/>
      <c r="P165" s="12" t="n"/>
      <c r="Q165" s="12" t="n"/>
    </row>
    <row r="166">
      <c r="A166" s="130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38" t="n"/>
      <c r="O166" s="138" t="n"/>
      <c r="P166" s="12" t="n"/>
      <c r="Q166" s="12" t="n"/>
    </row>
    <row r="167">
      <c r="A167" s="130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38" t="n"/>
      <c r="O167" s="138" t="n"/>
      <c r="P167" s="12" t="n"/>
      <c r="Q167" s="12" t="n"/>
    </row>
    <row r="168">
      <c r="A168" s="130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38" t="n"/>
      <c r="O168" s="138" t="n"/>
      <c r="P168" s="12" t="n"/>
      <c r="Q168" s="12" t="n"/>
    </row>
    <row r="169">
      <c r="A169" s="130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38" t="n"/>
      <c r="O169" s="138" t="n"/>
      <c r="P169" s="12" t="n"/>
      <c r="Q169" s="12" t="n"/>
    </row>
    <row r="170">
      <c r="A170" s="130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38" t="n"/>
      <c r="O170" s="138" t="n"/>
      <c r="P170" s="12" t="n"/>
      <c r="Q170" s="12" t="n"/>
    </row>
    <row r="171">
      <c r="A171" s="130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38" t="n"/>
      <c r="O171" s="138" t="n"/>
      <c r="P171" s="12" t="n"/>
      <c r="Q171" s="12" t="n"/>
    </row>
    <row r="172">
      <c r="A172" s="130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38" t="n"/>
      <c r="O172" s="138" t="n"/>
      <c r="P172" s="12" t="n"/>
      <c r="Q172" s="12" t="n"/>
    </row>
    <row r="173">
      <c r="A173" s="130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38" t="n"/>
      <c r="O173" s="138" t="n"/>
      <c r="P173" s="12" t="n"/>
      <c r="Q173" s="12" t="n"/>
    </row>
    <row r="174">
      <c r="A174" s="130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38" t="n"/>
      <c r="O174" s="138" t="n"/>
      <c r="P174" s="12" t="n"/>
      <c r="Q174" s="12" t="n"/>
    </row>
    <row r="175">
      <c r="A175" s="130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38" t="n"/>
      <c r="O175" s="138" t="n"/>
      <c r="P175" s="12" t="n"/>
      <c r="Q175" s="12" t="n"/>
    </row>
    <row r="176">
      <c r="A176" s="130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38" t="n"/>
      <c r="O176" s="138" t="n"/>
      <c r="P176" s="12" t="n"/>
      <c r="Q176" s="12" t="n"/>
    </row>
    <row r="177">
      <c r="A177" s="130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38" t="n"/>
      <c r="O177" s="138" t="n"/>
      <c r="P177" s="12" t="n"/>
      <c r="Q177" s="12" t="n"/>
    </row>
    <row r="178">
      <c r="A178" s="130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38" t="n"/>
      <c r="O178" s="138" t="n"/>
      <c r="P178" s="12" t="n"/>
      <c r="Q178" s="12" t="n"/>
    </row>
    <row r="179">
      <c r="A179" s="130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38" t="n"/>
      <c r="O179" s="138" t="n"/>
      <c r="P179" s="12" t="n"/>
      <c r="Q179" s="12" t="n"/>
    </row>
    <row r="180">
      <c r="A180" s="130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38" t="n"/>
      <c r="O180" s="138" t="n"/>
      <c r="P180" s="12" t="n"/>
      <c r="Q180" s="12" t="n"/>
    </row>
    <row r="181">
      <c r="A181" s="130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38" t="n"/>
      <c r="O181" s="138" t="n"/>
      <c r="P181" s="12" t="n"/>
      <c r="Q181" s="12" t="n"/>
    </row>
    <row r="182">
      <c r="A182" s="130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38" t="n"/>
      <c r="O182" s="138" t="n"/>
      <c r="P182" s="12" t="n"/>
      <c r="Q182" s="12" t="n"/>
    </row>
    <row r="183">
      <c r="A183" s="130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38" t="n"/>
      <c r="O183" s="138" t="n"/>
      <c r="P183" s="12" t="n"/>
      <c r="Q183" s="12" t="n"/>
    </row>
    <row r="184">
      <c r="A184" s="130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38" t="n"/>
      <c r="O184" s="138" t="n"/>
      <c r="P184" s="12" t="n"/>
      <c r="Q184" s="12" t="n"/>
    </row>
    <row r="185">
      <c r="A185" s="130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38" t="n"/>
      <c r="O185" s="138" t="n"/>
      <c r="P185" s="12" t="n"/>
      <c r="Q185" s="12" t="n"/>
    </row>
    <row r="186">
      <c r="A186" s="130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38" t="n"/>
      <c r="O186" s="138" t="n"/>
      <c r="P186" s="12" t="n"/>
      <c r="Q186" s="12" t="n"/>
    </row>
    <row r="187">
      <c r="A187" s="130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38" t="n"/>
      <c r="O187" s="138" t="n"/>
      <c r="P187" s="12" t="n"/>
      <c r="Q187" s="12" t="n"/>
    </row>
    <row r="188">
      <c r="A188" s="130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38" t="n"/>
      <c r="O188" s="138" t="n"/>
      <c r="P188" s="12" t="n"/>
      <c r="Q188" s="12" t="n"/>
    </row>
    <row r="189">
      <c r="A189" s="130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38" t="n"/>
      <c r="O189" s="138" t="n"/>
      <c r="P189" s="12" t="n"/>
      <c r="Q189" s="12" t="n"/>
    </row>
    <row r="190">
      <c r="A190" s="130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38" t="n"/>
      <c r="O190" s="138" t="n"/>
      <c r="P190" s="12" t="n"/>
      <c r="Q190" s="12" t="n"/>
    </row>
    <row r="191">
      <c r="A191" s="130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38" t="n"/>
      <c r="O191" s="138" t="n"/>
      <c r="P191" s="12" t="n"/>
      <c r="Q191" s="12" t="n"/>
    </row>
    <row r="192">
      <c r="A192" s="130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38" t="n"/>
      <c r="O192" s="138" t="n"/>
      <c r="P192" s="12" t="n"/>
      <c r="Q192" s="12" t="n"/>
    </row>
    <row r="193">
      <c r="A193" s="130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38" t="n"/>
      <c r="O193" s="138" t="n"/>
      <c r="P193" s="12" t="n"/>
      <c r="Q193" s="12" t="n"/>
    </row>
    <row r="194">
      <c r="A194" s="130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38" t="n"/>
      <c r="O194" s="138" t="n"/>
      <c r="P194" s="12" t="n"/>
      <c r="Q194" s="12" t="n"/>
    </row>
    <row r="195">
      <c r="A195" s="130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38" t="n"/>
      <c r="O195" s="138" t="n"/>
      <c r="P195" s="12" t="n"/>
      <c r="Q195" s="12" t="n"/>
    </row>
    <row r="196">
      <c r="A196" s="130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38" t="n"/>
      <c r="O196" s="138" t="n"/>
      <c r="P196" s="12" t="n"/>
      <c r="Q196" s="12" t="n"/>
    </row>
    <row r="197">
      <c r="A197" s="130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38" t="n"/>
      <c r="O197" s="138" t="n"/>
      <c r="P197" s="12" t="n"/>
      <c r="Q197" s="12" t="n"/>
    </row>
    <row r="198">
      <c r="A198" s="130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38" t="n"/>
      <c r="O198" s="138" t="n"/>
      <c r="P198" s="12" t="n"/>
      <c r="Q198" s="12" t="n"/>
    </row>
    <row r="199">
      <c r="A199" s="130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38" t="n"/>
      <c r="O199" s="138" t="n"/>
      <c r="P199" s="12" t="n"/>
      <c r="Q199" s="12" t="n"/>
    </row>
    <row r="200">
      <c r="A200" s="130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38" t="n"/>
      <c r="O200" s="138" t="n"/>
      <c r="P200" s="12" t="n"/>
      <c r="Q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</row>
  </sheetData>
  <mergeCells count="1">
    <mergeCell ref="A1:Q1"/>
  </mergeCells>
  <conditionalFormatting sqref="L4:L500">
    <cfRule type="expression" priority="1" dxfId="0">
      <formula>L4="Hecho"</formula>
    </cfRule>
    <cfRule type="expression" priority="2" dxfId="1">
      <formula>L4="En progreso"</formula>
    </cfRule>
    <cfRule type="expression" priority="3" dxfId="2">
      <formula>L4="Bloqueado"</formula>
    </cfRule>
    <cfRule type="expression" priority="4" dxfId="3">
      <formula>L4="Pendiente"</formula>
    </cfRule>
    <cfRule type="expression" priority="5" dxfId="12">
      <formula>L4="Descartado"</formula>
    </cfRule>
  </conditionalFormatting>
  <conditionalFormatting sqref="L28:L29">
    <cfRule type="expression" priority="6" dxfId="18">
      <formula>L28="Hecho"</formula>
    </cfRule>
    <cfRule type="expression" priority="7" dxfId="19">
      <formula>L28="En progreso"</formula>
    </cfRule>
    <cfRule type="expression" priority="8" dxfId="20">
      <formula>L28="Bloqueado"</formula>
    </cfRule>
    <cfRule type="expression" priority="9" dxfId="21">
      <formula>L28="Pendiente"</formula>
    </cfRule>
  </conditionalFormatting>
  <dataValidations count="12">
    <dataValidation sqref="C4:C500" showDropDown="0" showInputMessage="0" showErrorMessage="0" allowBlank="0" type="list">
      <formula1>Listas!$D$2:$D$6</formula1>
    </dataValidation>
    <dataValidation sqref="G4:G500" showDropDown="0" showInputMessage="0" showErrorMessage="0" allowBlank="0" type="list">
      <formula1>Listas!$B$2:$B$5</formula1>
    </dataValidation>
    <dataValidation sqref="I4:I500" showDropDown="0" showInputMessage="0" showErrorMessage="0" allowBlank="0" type="list">
      <formula1>Listas!$H$2:$H$7</formula1>
    </dataValidation>
    <dataValidation sqref="J4:J500" showDropDown="0" showInputMessage="0" showErrorMessage="0" allowBlank="0" type="list">
      <formula1>Listas!$C$2:$C$5</formula1>
    </dataValidation>
    <dataValidation sqref="K4:K500" showDropDown="0" showInputMessage="0" showErrorMessage="0" allowBlank="0" type="list">
      <formula1>Listas!$G$2:$G$6</formula1>
    </dataValidation>
    <dataValidation sqref="L4:L500" showDropDown="0" showInputMessage="0" showErrorMessage="0" allowBlank="0" type="list">
      <formula1>Listas!$A$2:$A$6</formula1>
    </dataValidation>
    <dataValidation sqref="C28:C29" showDropDown="0" showInputMessage="0" showErrorMessage="0" allowBlank="0" type="list">
      <formula1>Listas!$D$2:$D$6</formula1>
    </dataValidation>
    <dataValidation sqref="G28:G29" showDropDown="0" showInputMessage="0" showErrorMessage="0" allowBlank="0" type="list">
      <formula1>Listas!$B$2:$B$5</formula1>
    </dataValidation>
    <dataValidation sqref="I28:I29" showDropDown="0" showInputMessage="0" showErrorMessage="0" allowBlank="0" type="list">
      <formula1>Listas!$H$2:$H$7</formula1>
    </dataValidation>
    <dataValidation sqref="J28:J29" showDropDown="0" showInputMessage="0" showErrorMessage="0" allowBlank="0" type="list">
      <formula1>Listas!$C$2:$C$5</formula1>
    </dataValidation>
    <dataValidation sqref="K28:K29" showDropDown="0" showInputMessage="0" showErrorMessage="0" allowBlank="0" type="list">
      <formula1>Listas!$G$2:$G$6</formula1>
    </dataValidation>
    <dataValidation sqref="L28:L29" showDropDown="0" showInputMessage="0" showErrorMessage="0" allowBlank="0" type="list">
      <formula1>Listas!$A$2:$A$6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8" customWidth="1" style="136" min="1" max="1"/>
    <col width="34" customWidth="1" style="136" min="2" max="2"/>
    <col width="16" customWidth="1" style="136" min="3" max="3"/>
    <col width="16" customWidth="1" style="136" min="4" max="4"/>
    <col width="22" customWidth="1" style="136" min="5" max="5"/>
    <col width="38" customWidth="1" style="136" min="6" max="6"/>
    <col width="32" customWidth="1" style="136" min="7" max="7"/>
    <col width="14" customWidth="1" style="136" min="8" max="8"/>
  </cols>
  <sheetData>
    <row r="1" ht="28" customHeight="1" s="136">
      <c r="A1" s="21" t="inlineStr">
        <is>
          <t>Matriz de Trazabilidad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28" t="n"/>
    </row>
    <row r="3">
      <c r="A3" s="6" t="inlineStr">
        <is>
          <t>ID</t>
        </is>
      </c>
      <c r="B3" s="6" t="inlineStr">
        <is>
          <t>Aspecto del problema</t>
        </is>
      </c>
      <c r="C3" s="6" t="inlineStr">
        <is>
          <t>Objetivo</t>
        </is>
      </c>
      <c r="D3" s="6" t="inlineStr">
        <is>
          <t>Requerimiento</t>
        </is>
      </c>
      <c r="E3" s="6" t="inlineStr">
        <is>
          <t>Backlog relacionado</t>
        </is>
      </c>
      <c r="F3" s="6" t="inlineStr">
        <is>
          <t>Criterio de validación</t>
        </is>
      </c>
      <c r="G3" s="6" t="inlineStr">
        <is>
          <t>Evidencia esperada</t>
        </is>
      </c>
      <c r="H3" s="6" t="inlineStr">
        <is>
          <t>Estado</t>
        </is>
      </c>
    </row>
    <row r="4">
      <c r="A4" s="130" t="inlineStr">
        <is>
          <t>T01</t>
        </is>
      </c>
      <c r="B4" s="12" t="inlineStr">
        <is>
          <t>Compatibilidad con ecosistema OpenStack</t>
        </is>
      </c>
      <c r="C4" s="12" t="inlineStr">
        <is>
          <t>OE1, OE4</t>
        </is>
      </c>
      <c r="D4" s="12" t="inlineStr">
        <is>
          <t>RF02</t>
        </is>
      </c>
      <c r="E4" s="12" t="inlineStr">
        <is>
          <t>B04, B05, B06</t>
        </is>
      </c>
      <c r="F4" s="12" t="inlineStr">
        <is>
          <t>Las rutas y flujos seleccionados se comportan de forma compatible.</t>
        </is>
      </c>
      <c r="G4" s="12" t="inlineStr">
        <is>
          <t>Pruebas de API y documentación.</t>
        </is>
      </c>
      <c r="H4" s="12" t="inlineStr">
        <is>
          <t>En progreso</t>
        </is>
      </c>
    </row>
    <row r="5">
      <c r="A5" s="130" t="inlineStr">
        <is>
          <t>T02</t>
        </is>
      </c>
      <c r="B5" s="12" t="inlineStr">
        <is>
          <t>Gestión de recursos</t>
        </is>
      </c>
      <c r="C5" s="12" t="inlineStr">
        <is>
          <t>OE3, OE4</t>
        </is>
      </c>
      <c r="D5" s="12" t="inlineStr">
        <is>
          <t>RF03</t>
        </is>
      </c>
      <c r="E5" s="12" t="inlineStr">
        <is>
          <t>B07</t>
        </is>
      </c>
      <c r="F5" s="12" t="inlineStr">
        <is>
          <t>Los casos priorizados de providers e inventories funcionan correctamente.</t>
        </is>
      </c>
      <c r="G5" s="12" t="inlineStr">
        <is>
          <t>Pruebas de Resource Providers e Inventories.</t>
        </is>
      </c>
      <c r="H5" s="12" t="inlineStr">
        <is>
          <t>Pendiente</t>
        </is>
      </c>
    </row>
    <row r="6">
      <c r="A6" s="130" t="inlineStr">
        <is>
          <t>T03</t>
        </is>
      </c>
      <c r="B6" s="12" t="inlineStr">
        <is>
          <t>Asignación de recursos</t>
        </is>
      </c>
      <c r="C6" s="12" t="inlineStr">
        <is>
          <t>OE3, OE4</t>
        </is>
      </c>
      <c r="D6" s="12" t="inlineStr">
        <is>
          <t>RF05</t>
        </is>
      </c>
      <c r="E6" s="12" t="inlineStr">
        <is>
          <t>B09</t>
        </is>
      </c>
      <c r="F6" s="12" t="inlineStr">
        <is>
          <t>Las allocations se gestionan según el comportamiento esperado.</t>
        </is>
      </c>
      <c r="G6" s="12" t="inlineStr">
        <is>
          <t>Pruebas de allocations.</t>
        </is>
      </c>
      <c r="H6" s="12" t="inlineStr">
        <is>
          <t>Pendiente</t>
        </is>
      </c>
    </row>
    <row r="7">
      <c r="A7" s="130" t="inlineStr">
        <is>
          <t>T04</t>
        </is>
      </c>
      <c r="B7" s="12" t="inlineStr">
        <is>
          <t>Integración real con OpenStack</t>
        </is>
      </c>
      <c r="C7" s="12" t="inlineStr">
        <is>
          <t>OE4</t>
        </is>
      </c>
      <c r="D7" s="12" t="inlineStr">
        <is>
          <t>RF09</t>
        </is>
      </c>
      <c r="E7" s="12" t="inlineStr">
        <is>
          <t>B13, B14</t>
        </is>
      </c>
      <c r="F7" s="12" t="inlineStr">
        <is>
          <t>OpenStack utiliza la reimplementación y crea una instancia correctamente.</t>
        </is>
      </c>
      <c r="G7" s="12" t="inlineStr">
        <is>
          <t>Creación exitosa de una instancia.</t>
        </is>
      </c>
      <c r="H7" s="12" t="inlineStr">
        <is>
          <t>Pendiente</t>
        </is>
      </c>
    </row>
    <row r="8">
      <c r="A8" s="130" t="inlineStr">
        <is>
          <t>T05</t>
        </is>
      </c>
      <c r="B8" s="12" t="inlineStr">
        <is>
          <t>Rendimiento</t>
        </is>
      </c>
      <c r="C8" s="12" t="inlineStr">
        <is>
          <t>OE5</t>
        </is>
      </c>
      <c r="D8" s="12" t="inlineStr">
        <is>
          <t>RNF02</t>
        </is>
      </c>
      <c r="E8" s="12" t="inlineStr">
        <is>
          <t>B16, B17</t>
        </is>
      </c>
      <c r="F8" s="12" t="inlineStr">
        <is>
          <t>Se obtienen mediciones comparables bajo el mismo protocolo.</t>
        </is>
      </c>
      <c r="G8" s="12" t="inlineStr">
        <is>
          <t>Resultados de benchmark.</t>
        </is>
      </c>
      <c r="H8" s="12" t="inlineStr">
        <is>
          <t>Pendiente</t>
        </is>
      </c>
    </row>
    <row r="9">
      <c r="A9" s="130" t="inlineStr">
        <is>
          <t>T06</t>
        </is>
      </c>
      <c r="B9" s="12" t="inlineStr">
        <is>
          <t>Consumo de recursos</t>
        </is>
      </c>
      <c r="C9" s="12" t="inlineStr">
        <is>
          <t>OE5</t>
        </is>
      </c>
      <c r="D9" s="12" t="inlineStr">
        <is>
          <t>RNF03</t>
        </is>
      </c>
      <c r="E9" s="12" t="inlineStr">
        <is>
          <t>B16, B18</t>
        </is>
      </c>
      <c r="F9" s="12" t="inlineStr">
        <is>
          <t>Se obtienen mediciones comparables de CPU y memoria.</t>
        </is>
      </c>
      <c r="G9" s="12" t="inlineStr">
        <is>
          <t>Mediciones de CPU y RAM.</t>
        </is>
      </c>
      <c r="H9" s="12" t="inlineStr">
        <is>
          <t>Pendiente</t>
        </is>
      </c>
    </row>
    <row r="10">
      <c r="A10" s="130" t="inlineStr">
        <is>
          <t>T07</t>
        </is>
      </c>
      <c r="B10" s="12" t="inlineStr">
        <is>
          <t>Reproducibilidad</t>
        </is>
      </c>
      <c r="C10" s="12" t="inlineStr">
        <is>
          <t>OE2, OE5</t>
        </is>
      </c>
      <c r="D10" s="12" t="inlineStr">
        <is>
          <t>RNF05</t>
        </is>
      </c>
      <c r="E10" s="12" t="inlineStr">
        <is>
          <t>B02, B03, B21, B22</t>
        </is>
      </c>
      <c r="F10" s="12" t="inlineStr">
        <is>
          <t>El entorno y las pruebas pueden reproducirse siguiendo documentación y scripts.</t>
        </is>
      </c>
      <c r="G10" s="12" t="inlineStr">
        <is>
          <t>Documentación y scripts.</t>
        </is>
      </c>
      <c r="H10" s="12" t="inlineStr">
        <is>
          <t>En progreso</t>
        </is>
      </c>
    </row>
    <row r="11">
      <c r="A11" s="130" t="inlineStr">
        <is>
          <t>T08</t>
        </is>
      </c>
      <c r="B11" s="12" t="inlineStr">
        <is>
          <t>Gestión y consumo de imágenes OpenStack</t>
        </is>
      </c>
      <c r="C11" s="12" t="inlineStr">
        <is>
          <t>OE1, OE3, OE4</t>
        </is>
      </c>
      <c r="D11" s="12" t="inlineStr">
        <is>
          <t>RF10</t>
        </is>
      </c>
      <c r="E11" s="12" t="inlineStr">
        <is>
          <t>B19, B20, B25, B26</t>
        </is>
      </c>
      <c r="F11" s="12" t="inlineStr">
        <is>
          <t>La reimplementación de Glance gestiona el ciclo mínimo de una imagen y Nova puede consumirla para crear una instancia.</t>
        </is>
      </c>
      <c r="G11" s="12" t="inlineStr">
        <is>
          <t>Pruebas de Image API, carga/descarga y boot de VM desde imagen.</t>
        </is>
      </c>
      <c r="H11" s="12" t="inlineStr">
        <is>
          <t>Pendiente</t>
        </is>
      </c>
    </row>
    <row r="12">
      <c r="A12" s="130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31" t="inlineStr">
        <is>
          <t>Trazabilidad Requerimientos ↔ Objetivos</t>
        </is>
      </c>
      <c r="B13" s="1" t="n"/>
      <c r="C13" s="1" t="n"/>
      <c r="D13" s="1" t="n"/>
      <c r="E13" s="1" t="n"/>
      <c r="F13" s="1" t="n"/>
      <c r="G13" s="12" t="n"/>
      <c r="H13" s="12" t="n"/>
    </row>
    <row r="14">
      <c r="A14" s="6" t="inlineStr">
        <is>
          <t>Requerimiento</t>
        </is>
      </c>
      <c r="B14" s="6" t="inlineStr">
        <is>
          <t>OE1</t>
        </is>
      </c>
      <c r="C14" s="6" t="inlineStr">
        <is>
          <t>OE2</t>
        </is>
      </c>
      <c r="D14" s="6" t="inlineStr">
        <is>
          <t>OE3</t>
        </is>
      </c>
      <c r="E14" s="6" t="inlineStr">
        <is>
          <t>OE4</t>
        </is>
      </c>
      <c r="F14" s="6" t="inlineStr">
        <is>
          <t>OE5</t>
        </is>
      </c>
      <c r="G14" s="12" t="n"/>
      <c r="H14" s="12" t="n"/>
    </row>
    <row r="15">
      <c r="A15" s="134" t="inlineStr">
        <is>
          <t>RF01</t>
        </is>
      </c>
      <c r="B15" s="34" t="str"/>
      <c r="C15" s="34" t="inlineStr">
        <is>
          <t>X</t>
        </is>
      </c>
      <c r="D15" s="34" t="str"/>
      <c r="E15" s="34" t="inlineStr">
        <is>
          <t>X</t>
        </is>
      </c>
      <c r="F15" s="34" t="str"/>
      <c r="G15" s="12" t="n"/>
      <c r="H15" s="12" t="n"/>
    </row>
    <row r="16">
      <c r="A16" s="134" t="inlineStr">
        <is>
          <t>RF02</t>
        </is>
      </c>
      <c r="B16" s="34" t="inlineStr">
        <is>
          <t>X</t>
        </is>
      </c>
      <c r="C16" s="34" t="str"/>
      <c r="D16" s="34" t="inlineStr">
        <is>
          <t>X</t>
        </is>
      </c>
      <c r="E16" s="34" t="inlineStr">
        <is>
          <t>X</t>
        </is>
      </c>
      <c r="F16" s="34" t="str"/>
      <c r="G16" s="12" t="n"/>
      <c r="H16" s="12" t="n"/>
    </row>
    <row r="17">
      <c r="A17" s="134" t="inlineStr">
        <is>
          <t>RF03</t>
        </is>
      </c>
      <c r="B17" s="34" t="str"/>
      <c r="C17" s="34" t="str"/>
      <c r="D17" s="34" t="inlineStr">
        <is>
          <t>X</t>
        </is>
      </c>
      <c r="E17" s="34" t="inlineStr">
        <is>
          <t>X</t>
        </is>
      </c>
      <c r="F17" s="34" t="str"/>
      <c r="G17" s="12" t="n"/>
      <c r="H17" s="12" t="n"/>
    </row>
    <row r="18">
      <c r="A18" s="134" t="inlineStr">
        <is>
          <t>RF04</t>
        </is>
      </c>
      <c r="B18" s="34" t="str"/>
      <c r="C18" s="34" t="str"/>
      <c r="D18" s="34" t="inlineStr">
        <is>
          <t>X</t>
        </is>
      </c>
      <c r="E18" s="34" t="inlineStr">
        <is>
          <t>X</t>
        </is>
      </c>
      <c r="F18" s="34" t="str"/>
      <c r="G18" s="12" t="n"/>
      <c r="H18" s="12" t="n"/>
    </row>
    <row r="19">
      <c r="A19" s="134" t="inlineStr">
        <is>
          <t>RF05</t>
        </is>
      </c>
      <c r="B19" s="34" t="str"/>
      <c r="C19" s="34" t="str"/>
      <c r="D19" s="34" t="inlineStr">
        <is>
          <t>X</t>
        </is>
      </c>
      <c r="E19" s="34" t="inlineStr">
        <is>
          <t>X</t>
        </is>
      </c>
      <c r="F19" s="34" t="str"/>
      <c r="G19" s="12" t="n"/>
      <c r="H19" s="12" t="n"/>
    </row>
    <row r="20">
      <c r="A20" s="134" t="inlineStr">
        <is>
          <t>RF06</t>
        </is>
      </c>
      <c r="B20" s="34" t="str"/>
      <c r="C20" s="34" t="str"/>
      <c r="D20" s="34" t="inlineStr">
        <is>
          <t>X</t>
        </is>
      </c>
      <c r="E20" s="34" t="inlineStr">
        <is>
          <t>X</t>
        </is>
      </c>
      <c r="F20" s="34" t="str"/>
      <c r="G20" s="12" t="n"/>
      <c r="H20" s="12" t="n"/>
    </row>
    <row r="21">
      <c r="A21" s="134" t="inlineStr">
        <is>
          <t>RF07</t>
        </is>
      </c>
      <c r="B21" s="34" t="str"/>
      <c r="C21" s="34" t="str"/>
      <c r="D21" s="34" t="inlineStr">
        <is>
          <t>X</t>
        </is>
      </c>
      <c r="E21" s="34" t="inlineStr">
        <is>
          <t>X</t>
        </is>
      </c>
      <c r="F21" s="34" t="str"/>
      <c r="G21" s="12" t="n"/>
      <c r="H21" s="12" t="n"/>
    </row>
    <row r="22">
      <c r="A22" s="134" t="inlineStr">
        <is>
          <t>RF08</t>
        </is>
      </c>
      <c r="B22" s="34" t="str"/>
      <c r="C22" s="34" t="str"/>
      <c r="D22" s="34" t="inlineStr">
        <is>
          <t>X</t>
        </is>
      </c>
      <c r="E22" s="34" t="inlineStr">
        <is>
          <t>X</t>
        </is>
      </c>
      <c r="F22" s="34" t="str"/>
      <c r="G22" s="12" t="n"/>
      <c r="H22" s="12" t="n"/>
    </row>
    <row r="23">
      <c r="A23" s="134" t="inlineStr">
        <is>
          <t>RF09</t>
        </is>
      </c>
      <c r="B23" s="34" t="str"/>
      <c r="C23" s="34" t="str"/>
      <c r="D23" s="34" t="str"/>
      <c r="E23" s="34" t="inlineStr">
        <is>
          <t>X</t>
        </is>
      </c>
      <c r="F23" s="34" t="str"/>
      <c r="G23" s="12" t="n"/>
      <c r="H23" s="12" t="n"/>
    </row>
    <row r="24">
      <c r="A24" s="134" t="inlineStr">
        <is>
          <t>RF10</t>
        </is>
      </c>
      <c r="B24" s="34" t="inlineStr">
        <is>
          <t>X</t>
        </is>
      </c>
      <c r="C24" s="34" t="str"/>
      <c r="D24" s="34" t="inlineStr">
        <is>
          <t>X</t>
        </is>
      </c>
      <c r="E24" s="34" t="inlineStr">
        <is>
          <t>X</t>
        </is>
      </c>
      <c r="F24" s="34" t="str"/>
      <c r="G24" s="12" t="n"/>
      <c r="H24" s="12" t="n"/>
    </row>
    <row r="25">
      <c r="A25" s="134" t="inlineStr">
        <is>
          <t>RF11</t>
        </is>
      </c>
      <c r="B25" s="34" t="str"/>
      <c r="C25" s="34" t="str"/>
      <c r="D25" s="34" t="str"/>
      <c r="E25" s="34" t="inlineStr">
        <is>
          <t>X</t>
        </is>
      </c>
      <c r="F25" s="34" t="inlineStr">
        <is>
          <t>X</t>
        </is>
      </c>
      <c r="G25" s="12" t="n"/>
      <c r="H25" s="12" t="n"/>
    </row>
    <row r="26">
      <c r="A26" s="134" t="inlineStr">
        <is>
          <t>RF12</t>
        </is>
      </c>
      <c r="B26" s="34" t="str"/>
      <c r="C26" s="34" t="str"/>
      <c r="D26" s="34" t="str"/>
      <c r="E26" s="34" t="inlineStr">
        <is>
          <t>X</t>
        </is>
      </c>
      <c r="F26" s="34" t="inlineStr">
        <is>
          <t>X</t>
        </is>
      </c>
      <c r="G26" s="12" t="n"/>
      <c r="H26" s="12" t="n"/>
    </row>
    <row r="27">
      <c r="A27" s="134" t="inlineStr">
        <is>
          <t>RNF01</t>
        </is>
      </c>
      <c r="B27" s="34" t="str"/>
      <c r="C27" s="34" t="str"/>
      <c r="D27" s="34" t="inlineStr">
        <is>
          <t>X</t>
        </is>
      </c>
      <c r="E27" s="34" t="inlineStr">
        <is>
          <t>X</t>
        </is>
      </c>
      <c r="F27" s="34" t="str"/>
      <c r="G27" s="12" t="n"/>
      <c r="H27" s="12" t="n"/>
    </row>
    <row r="28">
      <c r="A28" s="134" t="inlineStr">
        <is>
          <t>RNF02</t>
        </is>
      </c>
      <c r="B28" s="34" t="str"/>
      <c r="C28" s="34" t="str"/>
      <c r="D28" s="34" t="str"/>
      <c r="E28" s="34" t="str"/>
      <c r="F28" s="34" t="inlineStr">
        <is>
          <t>X</t>
        </is>
      </c>
      <c r="G28" s="12" t="n"/>
      <c r="H28" s="12" t="n"/>
    </row>
    <row r="29">
      <c r="A29" s="134" t="inlineStr">
        <is>
          <t>RNF03</t>
        </is>
      </c>
      <c r="B29" s="34" t="str"/>
      <c r="C29" s="34" t="str"/>
      <c r="D29" s="34" t="str"/>
      <c r="E29" s="34" t="str"/>
      <c r="F29" s="34" t="inlineStr">
        <is>
          <t>X</t>
        </is>
      </c>
      <c r="G29" s="12" t="n"/>
      <c r="H29" s="12" t="n"/>
    </row>
    <row r="30">
      <c r="A30" s="134" t="inlineStr">
        <is>
          <t>RNF04</t>
        </is>
      </c>
      <c r="B30" s="34" t="str"/>
      <c r="C30" s="34" t="str"/>
      <c r="D30" s="34" t="str"/>
      <c r="E30" s="34" t="inlineStr">
        <is>
          <t>X</t>
        </is>
      </c>
      <c r="F30" s="34" t="inlineStr">
        <is>
          <t>X</t>
        </is>
      </c>
      <c r="G30" s="12" t="n"/>
      <c r="H30" s="12" t="n"/>
    </row>
    <row r="31">
      <c r="A31" s="134" t="inlineStr">
        <is>
          <t>RNF05</t>
        </is>
      </c>
      <c r="B31" s="34" t="str"/>
      <c r="C31" s="34" t="inlineStr">
        <is>
          <t>X</t>
        </is>
      </c>
      <c r="D31" s="34" t="str"/>
      <c r="E31" s="34" t="str"/>
      <c r="F31" s="34" t="inlineStr">
        <is>
          <t>X</t>
        </is>
      </c>
      <c r="G31" s="12" t="n"/>
      <c r="H31" s="12" t="n"/>
    </row>
    <row r="32">
      <c r="A32" s="134" t="inlineStr">
        <is>
          <t>RNF06</t>
        </is>
      </c>
      <c r="B32" s="34" t="str"/>
      <c r="C32" s="34" t="str"/>
      <c r="D32" s="34" t="inlineStr">
        <is>
          <t>X</t>
        </is>
      </c>
      <c r="E32" s="34" t="str"/>
      <c r="F32" s="34" t="str"/>
      <c r="G32" s="12" t="n"/>
      <c r="H32" s="12" t="n"/>
    </row>
    <row r="33">
      <c r="A33" s="134" t="inlineStr">
        <is>
          <t>RNF07</t>
        </is>
      </c>
      <c r="B33" s="34" t="str"/>
      <c r="C33" s="34" t="str"/>
      <c r="D33" s="34" t="inlineStr">
        <is>
          <t>X</t>
        </is>
      </c>
      <c r="E33" s="34" t="inlineStr">
        <is>
          <t>X</t>
        </is>
      </c>
      <c r="F33" s="34" t="str"/>
      <c r="G33" s="12" t="n"/>
      <c r="H33" s="12" t="n"/>
    </row>
    <row r="34">
      <c r="A34" s="130" t="n"/>
      <c r="B34" s="12" t="n"/>
      <c r="C34" s="12" t="n"/>
      <c r="D34" s="12" t="n"/>
      <c r="E34" s="12" t="n"/>
      <c r="F34" s="12" t="n"/>
      <c r="G34" s="12" t="n"/>
      <c r="H34" s="12" t="n"/>
    </row>
    <row r="35">
      <c r="A35" s="130" t="n"/>
      <c r="B35" s="12" t="n"/>
      <c r="C35" s="12" t="n"/>
      <c r="D35" s="12" t="n"/>
      <c r="E35" s="12" t="n"/>
      <c r="F35" s="12" t="n"/>
      <c r="G35" s="12" t="n"/>
      <c r="H35" s="12" t="n"/>
    </row>
    <row r="36">
      <c r="A36" s="130" t="n"/>
      <c r="B36" s="12" t="n"/>
      <c r="C36" s="12" t="n"/>
      <c r="D36" s="12" t="n"/>
      <c r="E36" s="12" t="n"/>
      <c r="F36" s="12" t="n"/>
      <c r="G36" s="12" t="n"/>
      <c r="H36" s="12" t="n"/>
    </row>
    <row r="37">
      <c r="A37" s="130" t="n"/>
      <c r="B37" s="12" t="n"/>
      <c r="C37" s="12" t="n"/>
      <c r="D37" s="12" t="n"/>
      <c r="E37" s="12" t="n"/>
      <c r="F37" s="12" t="n"/>
      <c r="G37" s="12" t="n"/>
      <c r="H37" s="12" t="n"/>
    </row>
    <row r="38">
      <c r="A38" s="130" t="n"/>
      <c r="B38" s="12" t="n"/>
      <c r="C38" s="12" t="n"/>
      <c r="D38" s="12" t="n"/>
      <c r="E38" s="12" t="n"/>
      <c r="F38" s="12" t="n"/>
      <c r="G38" s="12" t="n"/>
      <c r="H38" s="12" t="n"/>
    </row>
    <row r="39">
      <c r="A39" s="130" t="n"/>
      <c r="B39" s="12" t="n"/>
      <c r="C39" s="12" t="n"/>
      <c r="D39" s="12" t="n"/>
      <c r="E39" s="12" t="n"/>
      <c r="F39" s="12" t="n"/>
      <c r="G39" s="12" t="n"/>
      <c r="H39" s="12" t="n"/>
    </row>
    <row r="40">
      <c r="A40" s="130" t="n"/>
      <c r="B40" s="12" t="n"/>
      <c r="C40" s="12" t="n"/>
      <c r="D40" s="12" t="n"/>
      <c r="E40" s="12" t="n"/>
      <c r="F40" s="12" t="n"/>
      <c r="G40" s="12" t="n"/>
      <c r="H40" s="12" t="n"/>
    </row>
    <row r="41">
      <c r="A41" s="130" t="n"/>
      <c r="B41" s="12" t="n"/>
      <c r="C41" s="12" t="n"/>
      <c r="D41" s="12" t="n"/>
      <c r="E41" s="12" t="n"/>
      <c r="F41" s="12" t="n"/>
      <c r="G41" s="12" t="n"/>
      <c r="H41" s="12" t="n"/>
    </row>
    <row r="42">
      <c r="A42" s="130" t="n"/>
      <c r="B42" s="12" t="n"/>
      <c r="C42" s="12" t="n"/>
      <c r="D42" s="12" t="n"/>
      <c r="E42" s="12" t="n"/>
      <c r="F42" s="12" t="n"/>
      <c r="G42" s="12" t="n"/>
      <c r="H42" s="12" t="n"/>
    </row>
    <row r="43">
      <c r="A43" s="130" t="n"/>
      <c r="B43" s="12" t="n"/>
      <c r="C43" s="12" t="n"/>
      <c r="D43" s="12" t="n"/>
      <c r="E43" s="12" t="n"/>
      <c r="F43" s="12" t="n"/>
      <c r="G43" s="12" t="n"/>
      <c r="H43" s="12" t="n"/>
    </row>
    <row r="44">
      <c r="A44" s="130" t="n"/>
      <c r="B44" s="12" t="n"/>
      <c r="C44" s="12" t="n"/>
      <c r="D44" s="12" t="n"/>
      <c r="E44" s="12" t="n"/>
      <c r="F44" s="12" t="n"/>
      <c r="G44" s="12" t="n"/>
      <c r="H44" s="12" t="n"/>
    </row>
    <row r="45">
      <c r="A45" s="130" t="n"/>
      <c r="B45" s="12" t="n"/>
      <c r="C45" s="12" t="n"/>
      <c r="D45" s="12" t="n"/>
      <c r="E45" s="12" t="n"/>
      <c r="F45" s="12" t="n"/>
      <c r="G45" s="12" t="n"/>
      <c r="H45" s="12" t="n"/>
    </row>
    <row r="46">
      <c r="A46" s="130" t="n"/>
      <c r="B46" s="12" t="n"/>
      <c r="C46" s="12" t="n"/>
      <c r="D46" s="12" t="n"/>
      <c r="E46" s="12" t="n"/>
      <c r="F46" s="12" t="n"/>
      <c r="G46" s="12" t="n"/>
      <c r="H46" s="12" t="n"/>
    </row>
    <row r="47">
      <c r="A47" s="130" t="n"/>
      <c r="B47" s="12" t="n"/>
      <c r="C47" s="12" t="n"/>
      <c r="D47" s="12" t="n"/>
      <c r="E47" s="12" t="n"/>
      <c r="F47" s="12" t="n"/>
      <c r="G47" s="12" t="n"/>
      <c r="H47" s="12" t="n"/>
    </row>
    <row r="48">
      <c r="A48" s="130" t="n"/>
      <c r="B48" s="12" t="n"/>
      <c r="C48" s="12" t="n"/>
      <c r="D48" s="12" t="n"/>
      <c r="E48" s="12" t="n"/>
      <c r="F48" s="12" t="n"/>
      <c r="G48" s="12" t="n"/>
      <c r="H48" s="12" t="n"/>
    </row>
    <row r="49">
      <c r="A49" s="130" t="n"/>
      <c r="B49" s="12" t="n"/>
      <c r="C49" s="12" t="n"/>
      <c r="D49" s="12" t="n"/>
      <c r="E49" s="12" t="n"/>
      <c r="F49" s="12" t="n"/>
      <c r="G49" s="12" t="n"/>
      <c r="H49" s="12" t="n"/>
    </row>
    <row r="50">
      <c r="A50" s="130" t="n"/>
      <c r="B50" s="12" t="n"/>
      <c r="C50" s="12" t="n"/>
      <c r="D50" s="12" t="n"/>
      <c r="E50" s="12" t="n"/>
      <c r="F50" s="12" t="n"/>
      <c r="G50" s="12" t="n"/>
      <c r="H50" s="12" t="n"/>
    </row>
    <row r="51">
      <c r="A51" s="130" t="n"/>
      <c r="B51" s="12" t="n"/>
      <c r="C51" s="12" t="n"/>
      <c r="D51" s="12" t="n"/>
      <c r="E51" s="12" t="n"/>
      <c r="F51" s="12" t="n"/>
      <c r="G51" s="12" t="n"/>
      <c r="H51" s="12" t="n"/>
    </row>
    <row r="52">
      <c r="A52" s="130" t="n"/>
      <c r="B52" s="12" t="n"/>
      <c r="C52" s="12" t="n"/>
      <c r="D52" s="12" t="n"/>
      <c r="E52" s="12" t="n"/>
      <c r="F52" s="12" t="n"/>
      <c r="G52" s="12" t="n"/>
      <c r="H52" s="12" t="n"/>
    </row>
    <row r="53">
      <c r="A53" s="130" t="n"/>
      <c r="B53" s="12" t="n"/>
      <c r="C53" s="12" t="n"/>
      <c r="D53" s="12" t="n"/>
      <c r="E53" s="12" t="n"/>
      <c r="F53" s="12" t="n"/>
      <c r="G53" s="12" t="n"/>
      <c r="H53" s="12" t="n"/>
    </row>
    <row r="54">
      <c r="A54" s="130" t="n"/>
      <c r="B54" s="12" t="n"/>
      <c r="C54" s="12" t="n"/>
      <c r="D54" s="12" t="n"/>
      <c r="E54" s="12" t="n"/>
      <c r="F54" s="12" t="n"/>
      <c r="G54" s="12" t="n"/>
      <c r="H54" s="12" t="n"/>
    </row>
    <row r="55">
      <c r="A55" s="130" t="n"/>
      <c r="B55" s="12" t="n"/>
      <c r="C55" s="12" t="n"/>
      <c r="D55" s="12" t="n"/>
      <c r="E55" s="12" t="n"/>
      <c r="F55" s="12" t="n"/>
      <c r="G55" s="12" t="n"/>
      <c r="H55" s="12" t="n"/>
    </row>
    <row r="56">
      <c r="A56" s="130" t="n"/>
      <c r="B56" s="12" t="n"/>
      <c r="C56" s="12" t="n"/>
      <c r="D56" s="12" t="n"/>
      <c r="E56" s="12" t="n"/>
      <c r="F56" s="12" t="n"/>
      <c r="G56" s="12" t="n"/>
      <c r="H56" s="12" t="n"/>
    </row>
    <row r="57">
      <c r="A57" s="130" t="n"/>
      <c r="B57" s="12" t="n"/>
      <c r="C57" s="12" t="n"/>
      <c r="D57" s="12" t="n"/>
      <c r="E57" s="12" t="n"/>
      <c r="F57" s="12" t="n"/>
      <c r="G57" s="12" t="n"/>
      <c r="H57" s="12" t="n"/>
    </row>
    <row r="58">
      <c r="A58" s="130" t="n"/>
      <c r="B58" s="12" t="n"/>
      <c r="C58" s="12" t="n"/>
      <c r="D58" s="12" t="n"/>
      <c r="E58" s="12" t="n"/>
      <c r="F58" s="12" t="n"/>
      <c r="G58" s="12" t="n"/>
      <c r="H58" s="12" t="n"/>
    </row>
    <row r="59">
      <c r="A59" s="130" t="n"/>
      <c r="B59" s="12" t="n"/>
      <c r="C59" s="12" t="n"/>
      <c r="D59" s="12" t="n"/>
      <c r="E59" s="12" t="n"/>
      <c r="F59" s="12" t="n"/>
      <c r="G59" s="12" t="n"/>
      <c r="H59" s="12" t="n"/>
    </row>
    <row r="60">
      <c r="A60" s="130" t="n"/>
      <c r="B60" s="12" t="n"/>
      <c r="C60" s="12" t="n"/>
      <c r="D60" s="12" t="n"/>
      <c r="E60" s="12" t="n"/>
      <c r="F60" s="12" t="n"/>
      <c r="G60" s="12" t="n"/>
      <c r="H60" s="12" t="n"/>
    </row>
    <row r="61">
      <c r="A61" s="130" t="n"/>
      <c r="B61" s="12" t="n"/>
      <c r="C61" s="12" t="n"/>
      <c r="D61" s="12" t="n"/>
      <c r="E61" s="12" t="n"/>
      <c r="F61" s="12" t="n"/>
      <c r="G61" s="12" t="n"/>
      <c r="H61" s="12" t="n"/>
    </row>
    <row r="62">
      <c r="A62" s="130" t="n"/>
      <c r="B62" s="12" t="n"/>
      <c r="C62" s="12" t="n"/>
      <c r="D62" s="12" t="n"/>
      <c r="E62" s="12" t="n"/>
      <c r="F62" s="12" t="n"/>
      <c r="G62" s="12" t="n"/>
      <c r="H62" s="12" t="n"/>
    </row>
    <row r="63">
      <c r="A63" s="130" t="n"/>
      <c r="B63" s="12" t="n"/>
      <c r="C63" s="12" t="n"/>
      <c r="D63" s="12" t="n"/>
      <c r="E63" s="12" t="n"/>
      <c r="F63" s="12" t="n"/>
      <c r="G63" s="12" t="n"/>
      <c r="H63" s="12" t="n"/>
    </row>
    <row r="64">
      <c r="A64" s="130" t="n"/>
      <c r="B64" s="12" t="n"/>
      <c r="C64" s="12" t="n"/>
      <c r="D64" s="12" t="n"/>
      <c r="E64" s="12" t="n"/>
      <c r="F64" s="12" t="n"/>
      <c r="G64" s="12" t="n"/>
      <c r="H64" s="12" t="n"/>
    </row>
    <row r="65">
      <c r="A65" s="130" t="n"/>
      <c r="B65" s="12" t="n"/>
      <c r="C65" s="12" t="n"/>
      <c r="D65" s="12" t="n"/>
      <c r="E65" s="12" t="n"/>
      <c r="F65" s="12" t="n"/>
      <c r="G65" s="12" t="n"/>
      <c r="H65" s="12" t="n"/>
    </row>
    <row r="66">
      <c r="A66" s="130" t="n"/>
      <c r="B66" s="12" t="n"/>
      <c r="C66" s="12" t="n"/>
      <c r="D66" s="12" t="n"/>
      <c r="E66" s="12" t="n"/>
      <c r="F66" s="12" t="n"/>
      <c r="G66" s="12" t="n"/>
      <c r="H66" s="12" t="n"/>
    </row>
    <row r="67">
      <c r="A67" s="130" t="n"/>
      <c r="B67" s="12" t="n"/>
      <c r="C67" s="12" t="n"/>
      <c r="D67" s="12" t="n"/>
      <c r="E67" s="12" t="n"/>
      <c r="F67" s="12" t="n"/>
      <c r="G67" s="12" t="n"/>
      <c r="H67" s="12" t="n"/>
    </row>
    <row r="68">
      <c r="A68" s="130" t="n"/>
      <c r="B68" s="12" t="n"/>
      <c r="C68" s="12" t="n"/>
      <c r="D68" s="12" t="n"/>
      <c r="E68" s="12" t="n"/>
      <c r="F68" s="12" t="n"/>
      <c r="G68" s="12" t="n"/>
      <c r="H68" s="12" t="n"/>
    </row>
    <row r="69">
      <c r="A69" s="130" t="n"/>
      <c r="B69" s="12" t="n"/>
      <c r="C69" s="12" t="n"/>
      <c r="D69" s="12" t="n"/>
      <c r="E69" s="12" t="n"/>
      <c r="F69" s="12" t="n"/>
      <c r="G69" s="12" t="n"/>
      <c r="H69" s="12" t="n"/>
    </row>
    <row r="70">
      <c r="A70" s="130" t="n"/>
      <c r="B70" s="12" t="n"/>
      <c r="C70" s="12" t="n"/>
      <c r="D70" s="12" t="n"/>
      <c r="E70" s="12" t="n"/>
      <c r="F70" s="12" t="n"/>
      <c r="G70" s="12" t="n"/>
      <c r="H70" s="12" t="n"/>
    </row>
    <row r="71">
      <c r="A71" s="130" t="n"/>
      <c r="B71" s="12" t="n"/>
      <c r="C71" s="12" t="n"/>
      <c r="D71" s="12" t="n"/>
      <c r="E71" s="12" t="n"/>
      <c r="F71" s="12" t="n"/>
      <c r="G71" s="12" t="n"/>
      <c r="H71" s="12" t="n"/>
    </row>
    <row r="72">
      <c r="A72" s="130" t="n"/>
      <c r="B72" s="12" t="n"/>
      <c r="C72" s="12" t="n"/>
      <c r="D72" s="12" t="n"/>
      <c r="E72" s="12" t="n"/>
      <c r="F72" s="12" t="n"/>
      <c r="G72" s="12" t="n"/>
      <c r="H72" s="12" t="n"/>
    </row>
    <row r="73">
      <c r="A73" s="130" t="n"/>
      <c r="B73" s="12" t="n"/>
      <c r="C73" s="12" t="n"/>
      <c r="D73" s="12" t="n"/>
      <c r="E73" s="12" t="n"/>
      <c r="F73" s="12" t="n"/>
      <c r="G73" s="12" t="n"/>
      <c r="H73" s="12" t="n"/>
    </row>
    <row r="74">
      <c r="A74" s="130" t="n"/>
      <c r="B74" s="12" t="n"/>
      <c r="C74" s="12" t="n"/>
      <c r="D74" s="12" t="n"/>
      <c r="E74" s="12" t="n"/>
      <c r="F74" s="12" t="n"/>
      <c r="G74" s="12" t="n"/>
      <c r="H74" s="12" t="n"/>
    </row>
    <row r="75">
      <c r="A75" s="130" t="n"/>
      <c r="B75" s="12" t="n"/>
      <c r="C75" s="12" t="n"/>
      <c r="D75" s="12" t="n"/>
      <c r="E75" s="12" t="n"/>
      <c r="F75" s="12" t="n"/>
      <c r="G75" s="12" t="n"/>
      <c r="H75" s="12" t="n"/>
    </row>
    <row r="76">
      <c r="A76" s="130" t="n"/>
      <c r="B76" s="12" t="n"/>
      <c r="C76" s="12" t="n"/>
      <c r="D76" s="12" t="n"/>
      <c r="E76" s="12" t="n"/>
      <c r="F76" s="12" t="n"/>
      <c r="G76" s="12" t="n"/>
      <c r="H76" s="12" t="n"/>
    </row>
    <row r="77">
      <c r="A77" s="130" t="n"/>
      <c r="B77" s="12" t="n"/>
      <c r="C77" s="12" t="n"/>
      <c r="D77" s="12" t="n"/>
      <c r="E77" s="12" t="n"/>
      <c r="F77" s="12" t="n"/>
      <c r="G77" s="12" t="n"/>
      <c r="H77" s="12" t="n"/>
    </row>
    <row r="78">
      <c r="A78" s="130" t="n"/>
      <c r="B78" s="12" t="n"/>
      <c r="C78" s="12" t="n"/>
      <c r="D78" s="12" t="n"/>
      <c r="E78" s="12" t="n"/>
      <c r="F78" s="12" t="n"/>
      <c r="G78" s="12" t="n"/>
      <c r="H78" s="12" t="n"/>
    </row>
    <row r="79">
      <c r="A79" s="130" t="n"/>
      <c r="B79" s="12" t="n"/>
      <c r="C79" s="12" t="n"/>
      <c r="D79" s="12" t="n"/>
      <c r="E79" s="12" t="n"/>
      <c r="F79" s="12" t="n"/>
      <c r="G79" s="12" t="n"/>
      <c r="H79" s="12" t="n"/>
    </row>
    <row r="80">
      <c r="A80" s="130" t="n"/>
      <c r="B80" s="12" t="n"/>
      <c r="C80" s="12" t="n"/>
      <c r="D80" s="12" t="n"/>
      <c r="E80" s="12" t="n"/>
      <c r="F80" s="12" t="n"/>
      <c r="G80" s="12" t="n"/>
      <c r="H80" s="12" t="n"/>
    </row>
    <row r="81">
      <c r="A81" s="130" t="n"/>
      <c r="B81" s="12" t="n"/>
      <c r="C81" s="12" t="n"/>
      <c r="D81" s="12" t="n"/>
      <c r="E81" s="12" t="n"/>
      <c r="F81" s="12" t="n"/>
      <c r="G81" s="12" t="n"/>
      <c r="H81" s="12" t="n"/>
    </row>
    <row r="82">
      <c r="A82" s="130" t="n"/>
      <c r="B82" s="12" t="n"/>
      <c r="C82" s="12" t="n"/>
      <c r="D82" s="12" t="n"/>
      <c r="E82" s="12" t="n"/>
      <c r="F82" s="12" t="n"/>
      <c r="G82" s="12" t="n"/>
      <c r="H82" s="12" t="n"/>
    </row>
    <row r="83">
      <c r="A83" s="130" t="n"/>
      <c r="B83" s="12" t="n"/>
      <c r="C83" s="12" t="n"/>
      <c r="D83" s="12" t="n"/>
      <c r="E83" s="12" t="n"/>
      <c r="F83" s="12" t="n"/>
      <c r="G83" s="12" t="n"/>
      <c r="H83" s="12" t="n"/>
    </row>
    <row r="84">
      <c r="A84" s="130" t="n"/>
      <c r="B84" s="12" t="n"/>
      <c r="C84" s="12" t="n"/>
      <c r="D84" s="12" t="n"/>
      <c r="E84" s="12" t="n"/>
      <c r="F84" s="12" t="n"/>
      <c r="G84" s="12" t="n"/>
      <c r="H84" s="12" t="n"/>
    </row>
    <row r="85">
      <c r="A85" s="130" t="n"/>
      <c r="B85" s="12" t="n"/>
      <c r="C85" s="12" t="n"/>
      <c r="D85" s="12" t="n"/>
      <c r="E85" s="12" t="n"/>
      <c r="F85" s="12" t="n"/>
      <c r="G85" s="12" t="n"/>
      <c r="H85" s="12" t="n"/>
    </row>
    <row r="86">
      <c r="A86" s="130" t="n"/>
      <c r="B86" s="12" t="n"/>
      <c r="C86" s="12" t="n"/>
      <c r="D86" s="12" t="n"/>
      <c r="E86" s="12" t="n"/>
      <c r="F86" s="12" t="n"/>
      <c r="G86" s="12" t="n"/>
      <c r="H86" s="12" t="n"/>
    </row>
    <row r="87">
      <c r="A87" s="130" t="n"/>
      <c r="B87" s="12" t="n"/>
      <c r="C87" s="12" t="n"/>
      <c r="D87" s="12" t="n"/>
      <c r="E87" s="12" t="n"/>
      <c r="F87" s="12" t="n"/>
      <c r="G87" s="12" t="n"/>
      <c r="H87" s="12" t="n"/>
    </row>
    <row r="88">
      <c r="A88" s="130" t="n"/>
      <c r="B88" s="12" t="n"/>
      <c r="C88" s="12" t="n"/>
      <c r="D88" s="12" t="n"/>
      <c r="E88" s="12" t="n"/>
      <c r="F88" s="12" t="n"/>
      <c r="G88" s="12" t="n"/>
      <c r="H88" s="12" t="n"/>
    </row>
    <row r="89">
      <c r="A89" s="130" t="n"/>
      <c r="B89" s="12" t="n"/>
      <c r="C89" s="12" t="n"/>
      <c r="D89" s="12" t="n"/>
      <c r="E89" s="12" t="n"/>
      <c r="F89" s="12" t="n"/>
      <c r="G89" s="12" t="n"/>
      <c r="H89" s="12" t="n"/>
    </row>
    <row r="90">
      <c r="A90" s="130" t="n"/>
      <c r="B90" s="12" t="n"/>
      <c r="C90" s="12" t="n"/>
      <c r="D90" s="12" t="n"/>
      <c r="E90" s="12" t="n"/>
      <c r="F90" s="12" t="n"/>
      <c r="G90" s="12" t="n"/>
      <c r="H90" s="12" t="n"/>
    </row>
    <row r="91">
      <c r="A91" s="130" t="n"/>
      <c r="B91" s="12" t="n"/>
      <c r="C91" s="12" t="n"/>
      <c r="D91" s="12" t="n"/>
      <c r="E91" s="12" t="n"/>
      <c r="F91" s="12" t="n"/>
      <c r="G91" s="12" t="n"/>
      <c r="H91" s="12" t="n"/>
    </row>
    <row r="92">
      <c r="A92" s="130" t="n"/>
      <c r="B92" s="12" t="n"/>
      <c r="C92" s="12" t="n"/>
      <c r="D92" s="12" t="n"/>
      <c r="E92" s="12" t="n"/>
      <c r="F92" s="12" t="n"/>
      <c r="G92" s="12" t="n"/>
      <c r="H92" s="12" t="n"/>
    </row>
    <row r="93">
      <c r="A93" s="130" t="n"/>
      <c r="B93" s="12" t="n"/>
      <c r="C93" s="12" t="n"/>
      <c r="D93" s="12" t="n"/>
      <c r="E93" s="12" t="n"/>
      <c r="F93" s="12" t="n"/>
      <c r="G93" s="12" t="n"/>
      <c r="H93" s="12" t="n"/>
    </row>
    <row r="94">
      <c r="A94" s="130" t="n"/>
      <c r="B94" s="12" t="n"/>
      <c r="C94" s="12" t="n"/>
      <c r="D94" s="12" t="n"/>
      <c r="E94" s="12" t="n"/>
      <c r="F94" s="12" t="n"/>
      <c r="G94" s="12" t="n"/>
      <c r="H94" s="12" t="n"/>
    </row>
    <row r="95">
      <c r="A95" s="130" t="n"/>
      <c r="B95" s="12" t="n"/>
      <c r="C95" s="12" t="n"/>
      <c r="D95" s="12" t="n"/>
      <c r="E95" s="12" t="n"/>
      <c r="F95" s="12" t="n"/>
      <c r="G95" s="12" t="n"/>
      <c r="H95" s="12" t="n"/>
    </row>
    <row r="96">
      <c r="A96" s="130" t="n"/>
      <c r="B96" s="12" t="n"/>
      <c r="C96" s="12" t="n"/>
      <c r="D96" s="12" t="n"/>
      <c r="E96" s="12" t="n"/>
      <c r="F96" s="12" t="n"/>
      <c r="G96" s="12" t="n"/>
      <c r="H96" s="12" t="n"/>
    </row>
    <row r="97">
      <c r="A97" s="130" t="n"/>
      <c r="B97" s="12" t="n"/>
      <c r="C97" s="12" t="n"/>
      <c r="D97" s="12" t="n"/>
      <c r="E97" s="12" t="n"/>
      <c r="F97" s="12" t="n"/>
      <c r="G97" s="12" t="n"/>
      <c r="H97" s="12" t="n"/>
    </row>
    <row r="98">
      <c r="A98" s="130" t="n"/>
      <c r="B98" s="12" t="n"/>
      <c r="C98" s="12" t="n"/>
      <c r="D98" s="12" t="n"/>
      <c r="E98" s="12" t="n"/>
      <c r="F98" s="12" t="n"/>
      <c r="G98" s="12" t="n"/>
      <c r="H98" s="12" t="n"/>
    </row>
    <row r="99">
      <c r="A99" s="130" t="n"/>
      <c r="B99" s="12" t="n"/>
      <c r="C99" s="12" t="n"/>
      <c r="D99" s="12" t="n"/>
      <c r="E99" s="12" t="n"/>
      <c r="F99" s="12" t="n"/>
      <c r="G99" s="12" t="n"/>
      <c r="H99" s="12" t="n"/>
    </row>
    <row r="100">
      <c r="A100" s="130" t="n"/>
      <c r="B100" s="12" t="n"/>
      <c r="C100" s="12" t="n"/>
      <c r="D100" s="12" t="n"/>
      <c r="E100" s="12" t="n"/>
      <c r="F100" s="12" t="n"/>
      <c r="G100" s="12" t="n"/>
      <c r="H100" s="12" t="n"/>
    </row>
    <row r="101">
      <c r="A101" s="128" t="n"/>
    </row>
    <row r="102">
      <c r="A102" s="128" t="n"/>
    </row>
    <row r="103">
      <c r="A103" s="128" t="n"/>
    </row>
    <row r="104">
      <c r="A104" s="128" t="n"/>
    </row>
    <row r="105">
      <c r="A105" s="128" t="n"/>
    </row>
    <row r="106">
      <c r="A106" s="128" t="n"/>
    </row>
    <row r="107">
      <c r="A107" s="128" t="n"/>
    </row>
    <row r="108">
      <c r="A108" s="128" t="n"/>
    </row>
    <row r="109">
      <c r="A109" s="128" t="n"/>
    </row>
    <row r="110">
      <c r="A110" s="128" t="n"/>
    </row>
    <row r="111">
      <c r="A111" s="128" t="n"/>
    </row>
    <row r="112">
      <c r="A112" s="128" t="n"/>
    </row>
    <row r="113">
      <c r="A113" s="128" t="n"/>
    </row>
    <row r="114">
      <c r="A114" s="128" t="n"/>
    </row>
    <row r="115">
      <c r="A115" s="128" t="n"/>
    </row>
    <row r="116">
      <c r="A116" s="128" t="n"/>
    </row>
    <row r="117">
      <c r="A117" s="128" t="n"/>
    </row>
    <row r="118">
      <c r="A118" s="128" t="n"/>
    </row>
    <row r="119">
      <c r="A119" s="128" t="n"/>
    </row>
    <row r="120">
      <c r="A120" s="128" t="n"/>
    </row>
    <row r="121">
      <c r="A121" s="128" t="n"/>
    </row>
    <row r="122">
      <c r="A122" s="128" t="n"/>
    </row>
    <row r="123">
      <c r="A123" s="128" t="n"/>
    </row>
    <row r="124">
      <c r="A124" s="128" t="n"/>
    </row>
    <row r="125">
      <c r="A125" s="128" t="n"/>
    </row>
    <row r="126">
      <c r="A126" s="128" t="n"/>
    </row>
    <row r="127">
      <c r="A127" s="128" t="n"/>
    </row>
    <row r="128">
      <c r="A128" s="128" t="n"/>
    </row>
    <row r="129">
      <c r="A129" s="128" t="n"/>
    </row>
    <row r="130">
      <c r="A130" s="128" t="n"/>
    </row>
    <row r="131">
      <c r="A131" s="128" t="n"/>
    </row>
    <row r="132">
      <c r="A132" s="128" t="n"/>
    </row>
    <row r="133">
      <c r="A133" s="128" t="n"/>
    </row>
    <row r="134">
      <c r="A134" s="128" t="n"/>
    </row>
    <row r="135">
      <c r="A135" s="128" t="n"/>
    </row>
    <row r="136">
      <c r="A136" s="128" t="n"/>
    </row>
    <row r="137">
      <c r="A137" s="128" t="n"/>
    </row>
    <row r="138">
      <c r="A138" s="128" t="n"/>
    </row>
    <row r="139">
      <c r="A139" s="128" t="n"/>
    </row>
    <row r="140">
      <c r="A140" s="128" t="n"/>
    </row>
    <row r="141">
      <c r="A141" s="128" t="n"/>
    </row>
    <row r="142">
      <c r="A142" s="128" t="n"/>
    </row>
    <row r="143">
      <c r="A143" s="128" t="n"/>
    </row>
    <row r="144">
      <c r="A144" s="128" t="n"/>
    </row>
    <row r="145">
      <c r="A145" s="128" t="n"/>
    </row>
    <row r="146">
      <c r="A146" s="128" t="n"/>
    </row>
    <row r="147">
      <c r="A147" s="128" t="n"/>
    </row>
    <row r="148">
      <c r="A148" s="128" t="n"/>
    </row>
    <row r="149">
      <c r="A149" s="128" t="n"/>
    </row>
    <row r="150">
      <c r="A150" s="128" t="n"/>
    </row>
    <row r="151">
      <c r="A151" s="128" t="n"/>
    </row>
    <row r="152">
      <c r="A152" s="128" t="n"/>
    </row>
    <row r="153">
      <c r="A153" s="128" t="n"/>
    </row>
    <row r="154">
      <c r="A154" s="128" t="n"/>
    </row>
    <row r="155">
      <c r="A155" s="128" t="n"/>
    </row>
    <row r="156">
      <c r="A156" s="128" t="n"/>
    </row>
    <row r="157">
      <c r="A157" s="128" t="n"/>
    </row>
    <row r="158">
      <c r="A158" s="128" t="n"/>
    </row>
    <row r="159">
      <c r="A159" s="128" t="n"/>
    </row>
    <row r="160">
      <c r="A160" s="128" t="n"/>
    </row>
    <row r="161">
      <c r="A161" s="128" t="n"/>
    </row>
    <row r="162">
      <c r="A162" s="128" t="n"/>
    </row>
    <row r="163">
      <c r="A163" s="128" t="n"/>
    </row>
    <row r="164">
      <c r="A164" s="128" t="n"/>
    </row>
    <row r="165">
      <c r="A165" s="128" t="n"/>
    </row>
    <row r="166">
      <c r="A166" s="128" t="n"/>
    </row>
    <row r="167">
      <c r="A167" s="128" t="n"/>
    </row>
    <row r="168">
      <c r="A168" s="128" t="n"/>
    </row>
    <row r="169">
      <c r="A169" s="128" t="n"/>
    </row>
    <row r="170">
      <c r="A170" s="128" t="n"/>
    </row>
    <row r="171">
      <c r="A171" s="128" t="n"/>
    </row>
    <row r="172">
      <c r="A172" s="128" t="n"/>
    </row>
    <row r="173">
      <c r="A173" s="128" t="n"/>
    </row>
    <row r="174">
      <c r="A174" s="128" t="n"/>
    </row>
    <row r="175">
      <c r="A175" s="128" t="n"/>
    </row>
    <row r="176">
      <c r="A176" s="128" t="n"/>
    </row>
    <row r="177">
      <c r="A177" s="128" t="n"/>
    </row>
    <row r="178">
      <c r="A178" s="128" t="n"/>
    </row>
    <row r="179">
      <c r="A179" s="128" t="n"/>
    </row>
    <row r="180">
      <c r="A180" s="128" t="n"/>
    </row>
    <row r="181">
      <c r="A181" s="128" t="n"/>
    </row>
    <row r="182">
      <c r="A182" s="128" t="n"/>
    </row>
    <row r="183">
      <c r="A183" s="128" t="n"/>
    </row>
    <row r="184">
      <c r="A184" s="128" t="n"/>
    </row>
    <row r="185">
      <c r="A185" s="128" t="n"/>
    </row>
    <row r="186">
      <c r="A186" s="128" t="n"/>
    </row>
    <row r="187">
      <c r="A187" s="128" t="n"/>
    </row>
    <row r="188">
      <c r="A188" s="128" t="n"/>
    </row>
    <row r="189">
      <c r="A189" s="128" t="n"/>
    </row>
    <row r="190">
      <c r="A190" s="128" t="n"/>
    </row>
    <row r="191">
      <c r="A191" s="128" t="n"/>
    </row>
    <row r="192">
      <c r="A192" s="128" t="n"/>
    </row>
    <row r="193">
      <c r="A193" s="128" t="n"/>
    </row>
    <row r="194">
      <c r="A194" s="128" t="n"/>
    </row>
    <row r="195">
      <c r="A195" s="128" t="n"/>
    </row>
    <row r="196">
      <c r="A196" s="128" t="n"/>
    </row>
    <row r="197">
      <c r="A197" s="128" t="n"/>
    </row>
    <row r="198">
      <c r="A198" s="128" t="n"/>
    </row>
    <row r="199">
      <c r="A199" s="128" t="n"/>
    </row>
    <row r="200">
      <c r="A200" s="128" t="n"/>
    </row>
  </sheetData>
  <mergeCells count="2">
    <mergeCell ref="A13:F13"/>
    <mergeCell ref="A1:H1"/>
  </mergeCells>
  <conditionalFormatting sqref="H4:H100">
    <cfRule type="expression" priority="1" dxfId="0">
      <formula>H4="Validado"</formula>
    </cfRule>
    <cfRule type="expression" priority="2" dxfId="1">
      <formula>H4="En progreso"</formula>
    </cfRule>
    <cfRule type="expression" priority="3" dxfId="2">
      <formula>H4="Bloqueado"</formula>
    </cfRule>
    <cfRule type="expression" priority="4" dxfId="3">
      <formula>H4="Pendiente"</formula>
    </cfRule>
  </conditionalFormatting>
  <conditionalFormatting sqref="B15:F33">
    <cfRule type="expression" priority="5" dxfId="17">
      <formula>B15="X"</formula>
    </cfRule>
  </conditionalFormatting>
  <conditionalFormatting sqref="H11">
    <cfRule type="expression" priority="6" dxfId="18">
      <formula>H11="Validado"</formula>
    </cfRule>
    <cfRule type="expression" priority="7" dxfId="19">
      <formula>H11="En progreso"</formula>
    </cfRule>
    <cfRule type="expression" priority="8" dxfId="20">
      <formula>H11="Bloqueado"</formula>
    </cfRule>
    <cfRule type="expression" priority="9" dxfId="21">
      <formula>H11="Pendiente"</formula>
    </cfRule>
  </conditionalFormatting>
  <dataValidations count="2">
    <dataValidation sqref="H4:H100" showDropDown="0" showInputMessage="0" showErrorMessage="0" allowBlank="0" type="list">
      <formula1>"Pendiente,En progreso,Validado,Bloqueado"</formula1>
    </dataValidation>
    <dataValidation sqref="H11" showDropDown="0" showInputMessage="0" showErrorMessage="0" allowBlank="0" type="list">
      <formula1>"Pendiente,En progreso,Validado,Bloqueado"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10" customWidth="1" style="136" min="1" max="1"/>
    <col width="13" customWidth="1" style="136" min="2" max="2"/>
    <col width="13" customWidth="1" style="136" min="3" max="3"/>
    <col width="14" customWidth="1" style="136" min="4" max="4"/>
    <col width="38" customWidth="1" style="136" min="5" max="5"/>
    <col width="38" customWidth="1" style="136" min="6" max="6"/>
    <col width="18" customWidth="1" style="136" min="7" max="7"/>
    <col width="18" customWidth="1" style="136" min="8" max="8"/>
    <col width="12" customWidth="1" style="136" min="9" max="9"/>
    <col width="15" customWidth="1" style="136" min="10" max="10"/>
    <col width="26" customWidth="1" style="136" min="11" max="11"/>
  </cols>
  <sheetData>
    <row r="1" ht="28" customHeight="1" s="136">
      <c r="A1" s="21" t="inlineStr">
        <is>
          <t>Planificación por Sprints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28" t="n"/>
    </row>
    <row r="3">
      <c r="A3" s="6" t="inlineStr">
        <is>
          <t>Sprint</t>
        </is>
      </c>
      <c r="B3" s="6" t="inlineStr">
        <is>
          <t>Inicio</t>
        </is>
      </c>
      <c r="C3" s="6" t="inlineStr">
        <is>
          <t>Fin</t>
        </is>
      </c>
      <c r="D3" s="6" t="inlineStr">
        <is>
          <t>Etapa</t>
        </is>
      </c>
      <c r="E3" s="6" t="inlineStr">
        <is>
          <t>Objetivo principal</t>
        </is>
      </c>
      <c r="F3" s="6" t="inlineStr">
        <is>
          <t>Entregables</t>
        </is>
      </c>
      <c r="G3" s="6" t="inlineStr">
        <is>
          <t>Story Points planificados</t>
        </is>
      </c>
      <c r="H3" s="6" t="inlineStr">
        <is>
          <t>Story Points completados</t>
        </is>
      </c>
      <c r="I3" s="6" t="inlineStr">
        <is>
          <t>% avance</t>
        </is>
      </c>
      <c r="J3" s="6" t="inlineStr">
        <is>
          <t>Estado</t>
        </is>
      </c>
      <c r="K3" s="6" t="inlineStr">
        <is>
          <t>Observaciones</t>
        </is>
      </c>
    </row>
    <row r="4">
      <c r="A4" s="130" t="inlineStr">
        <is>
          <t>S1</t>
        </is>
      </c>
      <c r="B4" s="138" t="n">
        <v>46244</v>
      </c>
      <c r="C4" s="138" t="n">
        <v>46269</v>
      </c>
      <c r="D4" s="12" t="inlineStr">
        <is>
          <t>Etapa 1</t>
        </is>
      </c>
      <c r="E4" s="12" t="inlineStr">
        <is>
          <t>Definición del problema, objetivos, requerimientos y planificación.</t>
        </is>
      </c>
      <c r="F4" s="12" t="inlineStr">
        <is>
          <t>Informe Etapa 1 + Backlog + trazabilidad.</t>
        </is>
      </c>
      <c r="G4" s="12">
        <f>SUMIF(Backlog!$K$4:$K$500,A4,Backlog!$I$4:$I$500)</f>
        <v/>
      </c>
      <c r="H4" s="12">
        <f>SUMIFS(Backlog!$I$4:$I$500,Backlog!$K$4:$K$500,A4,Backlog!$L$4:$L$500,"Hecho")</f>
        <v/>
      </c>
      <c r="I4" s="139">
        <f>IFERROR(H4/G4,0)</f>
        <v/>
      </c>
      <c r="J4" s="12" t="inlineStr">
        <is>
          <t>En progreso</t>
        </is>
      </c>
      <c r="K4" s="12" t="str"/>
    </row>
    <row r="5">
      <c r="A5" s="130" t="inlineStr">
        <is>
          <t>S2</t>
        </is>
      </c>
      <c r="B5" s="138" t="n">
        <v>46270</v>
      </c>
      <c r="C5" s="138" t="n">
        <v>46297</v>
      </c>
      <c r="D5" s="12" t="inlineStr">
        <is>
          <t>Etapa 2</t>
        </is>
      </c>
      <c r="E5" s="12" t="inlineStr">
        <is>
          <t>Completar análisis técnico, entorno OpenStack, arquitectura y diseño de Placement y Glance.</t>
        </is>
      </c>
      <c r="F5" s="12" t="inlineStr">
        <is>
          <t>DevStack funcional, baseline, análisis de Placement y Glance, contratos y diseño técnico.</t>
        </is>
      </c>
      <c r="G5" s="12">
        <f>SUMIF(Backlog!$K$4:$K$500,A5,Backlog!$I$4:$I$500)</f>
        <v/>
      </c>
      <c r="H5" s="12">
        <f>SUMIFS(Backlog!$I$4:$I$500,Backlog!$K$4:$K$500,A5,Backlog!$L$4:$L$500,"Hecho")</f>
        <v/>
      </c>
      <c r="I5" s="139">
        <f>IFERROR(H5/G5,0)</f>
        <v/>
      </c>
      <c r="J5" s="12" t="inlineStr">
        <is>
          <t>Bloqueado</t>
        </is>
      </c>
      <c r="K5" s="12" t="inlineStr">
        <is>
          <t>0/33 story points aceptados; host no dedicado, sin DevStack ni baseline.</t>
        </is>
      </c>
    </row>
    <row r="6">
      <c r="A6" s="130" t="inlineStr">
        <is>
          <t>S3</t>
        </is>
      </c>
      <c r="B6" s="138" t="n">
        <v>46298</v>
      </c>
      <c r="C6" s="138" t="n">
        <v>46325</v>
      </c>
      <c r="D6" s="12" t="inlineStr">
        <is>
          <t>Etapa 3</t>
        </is>
      </c>
      <c r="E6" s="12" t="inlineStr">
        <is>
          <t>Alcanzar al menos 50 % de implementación y realizar pruebas iniciales.</t>
        </is>
      </c>
      <c r="F6" s="12" t="inlineStr">
        <is>
          <t>Placement parcialmente funcional, diseño/prototipo de Glance y resultados preliminares.</t>
        </is>
      </c>
      <c r="G6" s="12">
        <f>SUMIF(Backlog!$K$4:$K$500,A6,Backlog!$I$4:$I$500)</f>
        <v/>
      </c>
      <c r="H6" s="12">
        <f>SUMIFS(Backlog!$I$4:$I$500,Backlog!$K$4:$K$500,A6,Backlog!$L$4:$L$500,"Hecho")</f>
        <v/>
      </c>
      <c r="I6" s="139">
        <f>IFERROR(H6/G6,0)</f>
        <v/>
      </c>
      <c r="J6" s="12" t="inlineStr">
        <is>
          <t>Pendiente</t>
        </is>
      </c>
      <c r="K6" s="12" t="str"/>
    </row>
    <row r="7">
      <c r="A7" s="130" t="inlineStr">
        <is>
          <t>S4</t>
        </is>
      </c>
      <c r="B7" s="138" t="n">
        <v>46326</v>
      </c>
      <c r="C7" s="138" t="n">
        <v>46346</v>
      </c>
      <c r="D7" s="12" t="inlineStr">
        <is>
          <t>Implementación</t>
        </is>
      </c>
      <c r="E7" s="12" t="inlineStr">
        <is>
          <t>Completar la integración y funcionalidades críticas de Placement y Glance.</t>
        </is>
      </c>
      <c r="F7" s="12" t="inlineStr">
        <is>
          <t>Placement integrado y núcleo de Glance funcional con pruebas de API y datos de imagen.</t>
        </is>
      </c>
      <c r="G7" s="12">
        <f>SUMIF(Backlog!$K$4:$K$500,A7,Backlog!$I$4:$I$500)</f>
        <v/>
      </c>
      <c r="H7" s="12">
        <f>SUMIFS(Backlog!$I$4:$I$500,Backlog!$K$4:$K$500,A7,Backlog!$L$4:$L$500,"Hecho")</f>
        <v/>
      </c>
      <c r="I7" s="139">
        <f>IFERROR(H7/G7,0)</f>
        <v/>
      </c>
      <c r="J7" s="12" t="inlineStr">
        <is>
          <t>Pendiente</t>
        </is>
      </c>
      <c r="K7" s="12" t="str"/>
    </row>
    <row r="8">
      <c r="A8" s="130" t="inlineStr">
        <is>
          <t>S5</t>
        </is>
      </c>
      <c r="B8" s="138" t="n">
        <v>46347</v>
      </c>
      <c r="C8" s="138" t="n">
        <v>46360</v>
      </c>
      <c r="D8" s="12" t="inlineStr">
        <is>
          <t>Etapa 4</t>
        </is>
      </c>
      <c r="E8" s="12" t="inlineStr">
        <is>
          <t>Validación final, benchmarking y redacción.</t>
        </is>
      </c>
      <c r="F8" s="12" t="inlineStr">
        <is>
          <t>Pruebas end-to-end de Placement y Glance, comparaciones, conclusiones e informe.</t>
        </is>
      </c>
      <c r="G8" s="12">
        <f>SUMIF(Backlog!$K$4:$K$500,A8,Backlog!$I$4:$I$500)</f>
        <v/>
      </c>
      <c r="H8" s="12">
        <f>SUMIFS(Backlog!$I$4:$I$500,Backlog!$K$4:$K$500,A8,Backlog!$L$4:$L$500,"Hecho")</f>
        <v/>
      </c>
      <c r="I8" s="139">
        <f>IFERROR(H8/G8,0)</f>
        <v/>
      </c>
      <c r="J8" s="12" t="inlineStr">
        <is>
          <t>Pendiente</t>
        </is>
      </c>
      <c r="K8" s="12" t="str"/>
    </row>
    <row r="9">
      <c r="A9" s="130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</row>
    <row r="10">
      <c r="A10" s="130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30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</row>
    <row r="12">
      <c r="A12" s="130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30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30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30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30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30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30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30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30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30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30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30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30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30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30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30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30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30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30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30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30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  <row r="33">
      <c r="A33" s="130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</row>
    <row r="34">
      <c r="A34" s="130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</row>
    <row r="35">
      <c r="A35" s="130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</row>
    <row r="36">
      <c r="A36" s="130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</row>
    <row r="37">
      <c r="A37" s="130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>
      <c r="A38" s="130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  <row r="39">
      <c r="A39" s="130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</row>
    <row r="40">
      <c r="A40" s="130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</row>
    <row r="41">
      <c r="A41" s="130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</row>
    <row r="42">
      <c r="A42" s="130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</row>
    <row r="43">
      <c r="A43" s="130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</row>
    <row r="44">
      <c r="A44" s="130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</row>
    <row r="45">
      <c r="A45" s="130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</row>
    <row r="46">
      <c r="A46" s="130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>
      <c r="A47" s="130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>
      <c r="A48" s="130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>
      <c r="A49" s="130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>
      <c r="A50" s="130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>
      <c r="A51" s="128" t="n"/>
    </row>
    <row r="52">
      <c r="A52" s="128" t="n"/>
    </row>
    <row r="53">
      <c r="A53" s="128" t="n"/>
    </row>
    <row r="54">
      <c r="A54" s="128" t="n"/>
    </row>
    <row r="55">
      <c r="A55" s="128" t="n"/>
    </row>
    <row r="56">
      <c r="A56" s="128" t="n"/>
    </row>
    <row r="57">
      <c r="A57" s="128" t="n"/>
    </row>
    <row r="58">
      <c r="A58" s="128" t="n"/>
    </row>
    <row r="59">
      <c r="A59" s="128" t="n"/>
    </row>
    <row r="60">
      <c r="A60" s="128" t="n"/>
    </row>
    <row r="61">
      <c r="A61" s="128" t="n"/>
    </row>
    <row r="62">
      <c r="A62" s="128" t="n"/>
    </row>
    <row r="63">
      <c r="A63" s="128" t="n"/>
    </row>
    <row r="64">
      <c r="A64" s="128" t="n"/>
    </row>
    <row r="65">
      <c r="A65" s="128" t="n"/>
    </row>
    <row r="66">
      <c r="A66" s="128" t="n"/>
    </row>
    <row r="67">
      <c r="A67" s="128" t="n"/>
    </row>
    <row r="68">
      <c r="A68" s="128" t="n"/>
    </row>
    <row r="69">
      <c r="A69" s="128" t="n"/>
    </row>
    <row r="70">
      <c r="A70" s="128" t="n"/>
    </row>
    <row r="71">
      <c r="A71" s="128" t="n"/>
    </row>
    <row r="72">
      <c r="A72" s="128" t="n"/>
    </row>
    <row r="73">
      <c r="A73" s="128" t="n"/>
    </row>
    <row r="74">
      <c r="A74" s="128" t="n"/>
    </row>
    <row r="75">
      <c r="A75" s="128" t="n"/>
    </row>
    <row r="76">
      <c r="A76" s="128" t="n"/>
    </row>
    <row r="77">
      <c r="A77" s="128" t="n"/>
    </row>
    <row r="78">
      <c r="A78" s="128" t="n"/>
    </row>
    <row r="79">
      <c r="A79" s="128" t="n"/>
    </row>
    <row r="80">
      <c r="A80" s="128" t="n"/>
    </row>
    <row r="81">
      <c r="A81" s="128" t="n"/>
    </row>
    <row r="82">
      <c r="A82" s="128" t="n"/>
    </row>
    <row r="83">
      <c r="A83" s="128" t="n"/>
    </row>
    <row r="84">
      <c r="A84" s="128" t="n"/>
    </row>
    <row r="85">
      <c r="A85" s="128" t="n"/>
    </row>
    <row r="86">
      <c r="A86" s="128" t="n"/>
    </row>
    <row r="87">
      <c r="A87" s="128" t="n"/>
    </row>
    <row r="88">
      <c r="A88" s="128" t="n"/>
    </row>
    <row r="89">
      <c r="A89" s="128" t="n"/>
    </row>
    <row r="90">
      <c r="A90" s="128" t="n"/>
    </row>
    <row r="91">
      <c r="A91" s="128" t="n"/>
    </row>
    <row r="92">
      <c r="A92" s="128" t="n"/>
    </row>
    <row r="93">
      <c r="A93" s="128" t="n"/>
    </row>
    <row r="94">
      <c r="A94" s="128" t="n"/>
    </row>
    <row r="95">
      <c r="A95" s="128" t="n"/>
    </row>
    <row r="96">
      <c r="A96" s="128" t="n"/>
    </row>
    <row r="97">
      <c r="A97" s="128" t="n"/>
    </row>
    <row r="98">
      <c r="A98" s="128" t="n"/>
    </row>
    <row r="99">
      <c r="A99" s="128" t="n"/>
    </row>
    <row r="100">
      <c r="A100" s="128" t="n"/>
    </row>
    <row r="101">
      <c r="A101" s="128" t="n"/>
    </row>
    <row r="102">
      <c r="A102" s="128" t="n"/>
    </row>
    <row r="103">
      <c r="A103" s="128" t="n"/>
    </row>
    <row r="104">
      <c r="A104" s="128" t="n"/>
    </row>
    <row r="105">
      <c r="A105" s="128" t="n"/>
    </row>
    <row r="106">
      <c r="A106" s="128" t="n"/>
    </row>
    <row r="107">
      <c r="A107" s="128" t="n"/>
    </row>
    <row r="108">
      <c r="A108" s="128" t="n"/>
    </row>
    <row r="109">
      <c r="A109" s="128" t="n"/>
    </row>
    <row r="110">
      <c r="A110" s="128" t="n"/>
    </row>
    <row r="111">
      <c r="A111" s="128" t="n"/>
    </row>
    <row r="112">
      <c r="A112" s="128" t="n"/>
    </row>
    <row r="113">
      <c r="A113" s="128" t="n"/>
    </row>
    <row r="114">
      <c r="A114" s="128" t="n"/>
    </row>
    <row r="115">
      <c r="A115" s="128" t="n"/>
    </row>
    <row r="116">
      <c r="A116" s="128" t="n"/>
    </row>
    <row r="117">
      <c r="A117" s="128" t="n"/>
    </row>
    <row r="118">
      <c r="A118" s="128" t="n"/>
    </row>
    <row r="119">
      <c r="A119" s="128" t="n"/>
    </row>
    <row r="120">
      <c r="A120" s="128" t="n"/>
    </row>
    <row r="121">
      <c r="A121" s="128" t="n"/>
    </row>
    <row r="122">
      <c r="A122" s="128" t="n"/>
    </row>
    <row r="123">
      <c r="A123" s="128" t="n"/>
    </row>
    <row r="124">
      <c r="A124" s="128" t="n"/>
    </row>
    <row r="125">
      <c r="A125" s="128" t="n"/>
    </row>
    <row r="126">
      <c r="A126" s="128" t="n"/>
    </row>
    <row r="127">
      <c r="A127" s="128" t="n"/>
    </row>
    <row r="128">
      <c r="A128" s="128" t="n"/>
    </row>
    <row r="129">
      <c r="A129" s="128" t="n"/>
    </row>
    <row r="130">
      <c r="A130" s="128" t="n"/>
    </row>
    <row r="131">
      <c r="A131" s="128" t="n"/>
    </row>
    <row r="132">
      <c r="A132" s="128" t="n"/>
    </row>
    <row r="133">
      <c r="A133" s="128" t="n"/>
    </row>
    <row r="134">
      <c r="A134" s="128" t="n"/>
    </row>
    <row r="135">
      <c r="A135" s="128" t="n"/>
    </row>
    <row r="136">
      <c r="A136" s="128" t="n"/>
    </row>
    <row r="137">
      <c r="A137" s="128" t="n"/>
    </row>
    <row r="138">
      <c r="A138" s="128" t="n"/>
    </row>
    <row r="139">
      <c r="A139" s="128" t="n"/>
    </row>
    <row r="140">
      <c r="A140" s="128" t="n"/>
    </row>
    <row r="141">
      <c r="A141" s="128" t="n"/>
    </row>
    <row r="142">
      <c r="A142" s="128" t="n"/>
    </row>
    <row r="143">
      <c r="A143" s="128" t="n"/>
    </row>
    <row r="144">
      <c r="A144" s="128" t="n"/>
    </row>
    <row r="145">
      <c r="A145" s="128" t="n"/>
    </row>
    <row r="146">
      <c r="A146" s="128" t="n"/>
    </row>
    <row r="147">
      <c r="A147" s="128" t="n"/>
    </row>
    <row r="148">
      <c r="A148" s="128" t="n"/>
    </row>
    <row r="149">
      <c r="A149" s="128" t="n"/>
    </row>
    <row r="150">
      <c r="A150" s="128" t="n"/>
    </row>
    <row r="151">
      <c r="A151" s="128" t="n"/>
    </row>
    <row r="152">
      <c r="A152" s="128" t="n"/>
    </row>
    <row r="153">
      <c r="A153" s="128" t="n"/>
    </row>
    <row r="154">
      <c r="A154" s="128" t="n"/>
    </row>
    <row r="155">
      <c r="A155" s="128" t="n"/>
    </row>
    <row r="156">
      <c r="A156" s="128" t="n"/>
    </row>
    <row r="157">
      <c r="A157" s="128" t="n"/>
    </row>
    <row r="158">
      <c r="A158" s="128" t="n"/>
    </row>
    <row r="159">
      <c r="A159" s="128" t="n"/>
    </row>
    <row r="160">
      <c r="A160" s="128" t="n"/>
    </row>
    <row r="161">
      <c r="A161" s="128" t="n"/>
    </row>
    <row r="162">
      <c r="A162" s="128" t="n"/>
    </row>
    <row r="163">
      <c r="A163" s="128" t="n"/>
    </row>
    <row r="164">
      <c r="A164" s="128" t="n"/>
    </row>
    <row r="165">
      <c r="A165" s="128" t="n"/>
    </row>
    <row r="166">
      <c r="A166" s="128" t="n"/>
    </row>
    <row r="167">
      <c r="A167" s="128" t="n"/>
    </row>
    <row r="168">
      <c r="A168" s="128" t="n"/>
    </row>
    <row r="169">
      <c r="A169" s="128" t="n"/>
    </row>
    <row r="170">
      <c r="A170" s="128" t="n"/>
    </row>
    <row r="171">
      <c r="A171" s="128" t="n"/>
    </row>
    <row r="172">
      <c r="A172" s="128" t="n"/>
    </row>
    <row r="173">
      <c r="A173" s="128" t="n"/>
    </row>
    <row r="174">
      <c r="A174" s="128" t="n"/>
    </row>
    <row r="175">
      <c r="A175" s="128" t="n"/>
    </row>
    <row r="176">
      <c r="A176" s="128" t="n"/>
    </row>
    <row r="177">
      <c r="A177" s="128" t="n"/>
    </row>
    <row r="178">
      <c r="A178" s="128" t="n"/>
    </row>
    <row r="179">
      <c r="A179" s="128" t="n"/>
    </row>
    <row r="180">
      <c r="A180" s="128" t="n"/>
    </row>
    <row r="181">
      <c r="A181" s="128" t="n"/>
    </row>
    <row r="182">
      <c r="A182" s="128" t="n"/>
    </row>
    <row r="183">
      <c r="A183" s="128" t="n"/>
    </row>
    <row r="184">
      <c r="A184" s="128" t="n"/>
    </row>
    <row r="185">
      <c r="A185" s="128" t="n"/>
    </row>
    <row r="186">
      <c r="A186" s="128" t="n"/>
    </row>
    <row r="187">
      <c r="A187" s="128" t="n"/>
    </row>
    <row r="188">
      <c r="A188" s="128" t="n"/>
    </row>
    <row r="189">
      <c r="A189" s="128" t="n"/>
    </row>
    <row r="190">
      <c r="A190" s="128" t="n"/>
    </row>
    <row r="191">
      <c r="A191" s="128" t="n"/>
    </row>
    <row r="192">
      <c r="A192" s="128" t="n"/>
    </row>
    <row r="193">
      <c r="A193" s="128" t="n"/>
    </row>
    <row r="194">
      <c r="A194" s="128" t="n"/>
    </row>
    <row r="195">
      <c r="A195" s="128" t="n"/>
    </row>
    <row r="196">
      <c r="A196" s="128" t="n"/>
    </row>
    <row r="197">
      <c r="A197" s="128" t="n"/>
    </row>
    <row r="198">
      <c r="A198" s="128" t="n"/>
    </row>
    <row r="199">
      <c r="A199" s="128" t="n"/>
    </row>
    <row r="200">
      <c r="A200" s="128" t="n"/>
    </row>
  </sheetData>
  <mergeCells count="1">
    <mergeCell ref="A1:K1"/>
  </mergeCells>
  <dataValidations count="1">
    <dataValidation sqref="J4:J50" showDropDown="0" showInputMessage="0" showErrorMessage="0" allowBlank="0" type="list">
      <formula1>"Pendiente,En progreso,Completado,Bloqueado"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selection activeCell="A1" sqref="A1"/>
    </sheetView>
  </sheetViews>
  <sheetFormatPr baseColWidth="8" defaultRowHeight="15"/>
  <cols>
    <col width="16" customWidth="1" style="136" min="1" max="1"/>
    <col width="16" customWidth="1" style="136" min="2" max="2"/>
    <col width="16" customWidth="1" style="136" min="3" max="3"/>
    <col width="16" customWidth="1" style="136" min="4" max="4"/>
    <col width="18" customWidth="1" style="136" min="5" max="5"/>
    <col width="14" customWidth="1" style="136" min="6" max="6"/>
    <col width="16" customWidth="1" style="136" min="7" max="7"/>
    <col width="22" customWidth="1" style="136" min="8" max="8"/>
    <col width="14" customWidth="1" style="136" min="9" max="9"/>
    <col width="18" customWidth="1" style="136" min="10" max="10"/>
    <col width="30" customWidth="1" style="136" min="11" max="11"/>
    <col width="14" customWidth="1" style="136" min="12" max="12"/>
  </cols>
  <sheetData>
    <row r="1" ht="32" customHeight="1" s="136">
      <c r="A1" s="127" t="inlineStr">
        <is>
          <t>Dashboard de Avance del Trabajo de Título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30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</row>
    <row r="3">
      <c r="A3" s="140">
        <f>"Avance general"&amp;CHAR(10)&amp;TEXT(IFERROR(SUMIF(Backlog!$L$4:$L$500,"Hecho",Backlog!$I$4:$I$500)/SUM(Backlog!$I$4:$I$500),0),"0%")</f>
        <v/>
      </c>
      <c r="B3" s="141" t="n"/>
      <c r="C3" s="142" t="n"/>
      <c r="D3" s="140">
        <f>"SP completados"&amp;CHAR(10)&amp;TEXT(SUMIF(Backlog!$L$4:$L$500,"Hecho",Backlog!$I$4:$I$500),"0")</f>
        <v/>
      </c>
      <c r="E3" s="141" t="n"/>
      <c r="F3" s="142" t="n"/>
      <c r="G3" s="140">
        <f>"SP totales"&amp;CHAR(10)&amp;TEXT(SUM(Backlog!$I$4:$I$500),"0")</f>
        <v/>
      </c>
      <c r="H3" s="141" t="n"/>
      <c r="I3" s="142" t="n"/>
      <c r="J3" s="140">
        <f>"Req. validados"&amp;CHAR(10)&amp;TEXT(COUNTIF(Requerimientos!$K$4:$K$300,"Validado"),"0")</f>
        <v/>
      </c>
      <c r="K3" s="141" t="n"/>
      <c r="L3" s="142" t="n"/>
    </row>
    <row r="4">
      <c r="A4" s="143" t="n"/>
      <c r="C4" s="144" t="n"/>
      <c r="D4" s="143" t="n"/>
      <c r="F4" s="144" t="n"/>
      <c r="G4" s="143" t="n"/>
      <c r="I4" s="144" t="n"/>
      <c r="J4" s="143" t="n"/>
      <c r="L4" s="144" t="n"/>
    </row>
    <row r="5">
      <c r="A5" s="145" t="n"/>
      <c r="B5" s="146" t="n"/>
      <c r="C5" s="147" t="n"/>
      <c r="D5" s="145" t="n"/>
      <c r="E5" s="146" t="n"/>
      <c r="F5" s="147" t="n"/>
      <c r="G5" s="145" t="n"/>
      <c r="H5" s="146" t="n"/>
      <c r="I5" s="147" t="n"/>
      <c r="J5" s="145" t="n"/>
      <c r="K5" s="146" t="n"/>
      <c r="L5" s="147" t="n"/>
    </row>
    <row r="6">
      <c r="A6" s="130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</row>
    <row r="7">
      <c r="A7" s="140">
        <f>"Total requerimientos"&amp;CHAR(10)&amp;TEXT(COUNTA(Requerimientos!$A$4:$A$300),"0")</f>
        <v/>
      </c>
      <c r="B7" s="141" t="n"/>
      <c r="C7" s="142" t="n"/>
      <c r="D7" s="140">
        <f>"Tareas bloqueadas"&amp;CHAR(10)&amp;TEXT(COUNTIF(Backlog!$L$4:$L$500,"Bloqueado"),"0")</f>
        <v/>
      </c>
      <c r="E7" s="141" t="n"/>
      <c r="F7" s="142" t="n"/>
      <c r="G7" s="140">
        <f>"Objetivos cumplidos"&amp;CHAR(10)&amp;TEXT(COUNTIF(Objetivos_SMART!$K$4:$K$200,"Cumplido"),"0")</f>
        <v/>
      </c>
      <c r="H7" s="141" t="n"/>
      <c r="I7" s="142" t="n"/>
      <c r="J7" s="140">
        <f>"Días restantes"&amp;CHAR(10)&amp;TEXT(MAX(0,DATE(2026,12,4)-TODAY()),"0")</f>
        <v/>
      </c>
      <c r="K7" s="141" t="n"/>
      <c r="L7" s="142" t="n"/>
    </row>
    <row r="8">
      <c r="A8" s="143" t="n"/>
      <c r="C8" s="144" t="n"/>
      <c r="D8" s="143" t="n"/>
      <c r="F8" s="144" t="n"/>
      <c r="G8" s="143" t="n"/>
      <c r="I8" s="144" t="n"/>
      <c r="J8" s="143" t="n"/>
      <c r="L8" s="144" t="n"/>
    </row>
    <row r="9">
      <c r="A9" s="145" t="n"/>
      <c r="B9" s="146" t="n"/>
      <c r="C9" s="147" t="n"/>
      <c r="D9" s="145" t="n"/>
      <c r="E9" s="146" t="n"/>
      <c r="F9" s="147" t="n"/>
      <c r="G9" s="145" t="n"/>
      <c r="H9" s="146" t="n"/>
      <c r="I9" s="147" t="n"/>
      <c r="J9" s="145" t="n"/>
      <c r="K9" s="146" t="n"/>
      <c r="L9" s="147" t="n"/>
    </row>
    <row r="10">
      <c r="A10" s="130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30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</row>
    <row r="12">
      <c r="A12" s="6" t="inlineStr">
        <is>
          <t>Sprint</t>
        </is>
      </c>
      <c r="B12" s="6" t="inlineStr">
        <is>
          <t>SP planificados</t>
        </is>
      </c>
      <c r="C12" s="6" t="inlineStr">
        <is>
          <t>SP completados</t>
        </is>
      </c>
      <c r="D12" s="12" t="n"/>
      <c r="E12" s="6" t="inlineStr">
        <is>
          <t>Estado backlog</t>
        </is>
      </c>
      <c r="F12" s="6" t="inlineStr">
        <is>
          <t>Cantidad</t>
        </is>
      </c>
      <c r="G12" s="12" t="n"/>
      <c r="H12" s="6" t="inlineStr">
        <is>
          <t>Estado requerimiento</t>
        </is>
      </c>
      <c r="I12" s="6" t="inlineStr">
        <is>
          <t>Cantidad</t>
        </is>
      </c>
      <c r="J12" s="12" t="n"/>
      <c r="K12" s="6" t="inlineStr">
        <is>
          <t>Épica</t>
        </is>
      </c>
      <c r="L12" s="6" t="inlineStr">
        <is>
          <t>Cantidad</t>
        </is>
      </c>
    </row>
    <row r="13">
      <c r="A13" s="130">
        <f>Sprints!A4</f>
        <v/>
      </c>
      <c r="B13" s="12">
        <f>Sprints!G4</f>
        <v/>
      </c>
      <c r="C13" s="12">
        <f>Sprints!H4</f>
        <v/>
      </c>
      <c r="D13" s="12" t="n"/>
      <c r="E13" s="12" t="inlineStr">
        <is>
          <t>Pendiente</t>
        </is>
      </c>
      <c r="F13" s="12">
        <f>COUNTIF(Backlog!$L$4:$L$500,E13)</f>
        <v/>
      </c>
      <c r="G13" s="12" t="n"/>
      <c r="H13" s="12" t="inlineStr">
        <is>
          <t>Propuesto</t>
        </is>
      </c>
      <c r="I13" s="12">
        <f>COUNTIF(Requerimientos!$K$4:$K$300,H13)</f>
        <v/>
      </c>
      <c r="J13" s="12" t="n"/>
      <c r="K13" s="12" t="inlineStr">
        <is>
          <t>E1: Infraestructura y entorno</t>
        </is>
      </c>
      <c r="L13" s="12">
        <f>COUNTIF(Backlog!$B$4:$B$500,K13)</f>
        <v/>
      </c>
    </row>
    <row r="14">
      <c r="A14" s="130">
        <f>Sprints!A5</f>
        <v/>
      </c>
      <c r="B14" s="12">
        <f>Sprints!G5</f>
        <v/>
      </c>
      <c r="C14" s="12">
        <f>Sprints!H5</f>
        <v/>
      </c>
      <c r="D14" s="12" t="n"/>
      <c r="E14" s="12" t="inlineStr">
        <is>
          <t>En progreso</t>
        </is>
      </c>
      <c r="F14" s="12">
        <f>COUNTIF(Backlog!$L$4:$L$500,E14)</f>
        <v/>
      </c>
      <c r="G14" s="12" t="n"/>
      <c r="H14" s="12" t="inlineStr">
        <is>
          <t>Aprobado</t>
        </is>
      </c>
      <c r="I14" s="12">
        <f>COUNTIF(Requerimientos!$K$4:$K$300,H14)</f>
        <v/>
      </c>
      <c r="J14" s="12" t="n"/>
      <c r="K14" s="12" t="inlineStr">
        <is>
          <t>E2: Análisis y compatibilidad</t>
        </is>
      </c>
      <c r="L14" s="12">
        <f>COUNTIF(Backlog!$B$4:$B$500,K14)</f>
        <v/>
      </c>
    </row>
    <row r="15">
      <c r="A15" s="130">
        <f>Sprints!A6</f>
        <v/>
      </c>
      <c r="B15" s="12">
        <f>Sprints!G6</f>
        <v/>
      </c>
      <c r="C15" s="12">
        <f>Sprints!H6</f>
        <v/>
      </c>
      <c r="D15" s="12" t="n"/>
      <c r="E15" s="12" t="inlineStr">
        <is>
          <t>Hecho</t>
        </is>
      </c>
      <c r="F15" s="12">
        <f>COUNTIF(Backlog!$L$4:$L$500,E15)</f>
        <v/>
      </c>
      <c r="G15" s="12" t="n"/>
      <c r="H15" s="12" t="inlineStr">
        <is>
          <t>En desarrollo</t>
        </is>
      </c>
      <c r="I15" s="12">
        <f>COUNTIF(Requerimientos!$K$4:$K$300,H15)</f>
        <v/>
      </c>
      <c r="J15" s="12" t="n"/>
      <c r="K15" s="12" t="inlineStr">
        <is>
          <t>E3: Reimplementación Placement</t>
        </is>
      </c>
      <c r="L15" s="12">
        <f>COUNTIF(Backlog!$B$4:$B$500,K15)</f>
        <v/>
      </c>
    </row>
    <row r="16">
      <c r="A16" s="130">
        <f>Sprints!A7</f>
        <v/>
      </c>
      <c r="B16" s="12">
        <f>Sprints!G7</f>
        <v/>
      </c>
      <c r="C16" s="12">
        <f>Sprints!H7</f>
        <v/>
      </c>
      <c r="D16" s="12" t="n"/>
      <c r="E16" s="12" t="inlineStr">
        <is>
          <t>Bloqueado</t>
        </is>
      </c>
      <c r="F16" s="12">
        <f>COUNTIF(Backlog!$L$4:$L$500,E16)</f>
        <v/>
      </c>
      <c r="G16" s="12" t="n"/>
      <c r="H16" s="12" t="inlineStr">
        <is>
          <t>Implementado</t>
        </is>
      </c>
      <c r="I16" s="12">
        <f>COUNTIF(Requerimientos!$K$4:$K$300,H16)</f>
        <v/>
      </c>
      <c r="J16" s="12" t="n"/>
      <c r="K16" s="12" t="inlineStr">
        <is>
          <t>E4: Integración OpenStack</t>
        </is>
      </c>
      <c r="L16" s="12">
        <f>COUNTIF(Backlog!$B$4:$B$500,K16)</f>
        <v/>
      </c>
    </row>
    <row r="17">
      <c r="A17" s="130">
        <f>Sprints!A8</f>
        <v/>
      </c>
      <c r="B17" s="12">
        <f>Sprints!G8</f>
        <v/>
      </c>
      <c r="C17" s="12">
        <f>Sprints!H8</f>
        <v/>
      </c>
      <c r="D17" s="12" t="n"/>
      <c r="E17" s="12" t="inlineStr">
        <is>
          <t>Descartado</t>
        </is>
      </c>
      <c r="F17" s="12">
        <f>COUNTIF(Backlog!$L$4:$L$500,E17)</f>
        <v/>
      </c>
      <c r="G17" s="12" t="n"/>
      <c r="H17" s="12" t="inlineStr">
        <is>
          <t>Validado</t>
        </is>
      </c>
      <c r="I17" s="12">
        <f>COUNTIF(Requerimientos!$K$4:$K$300,H17)</f>
        <v/>
      </c>
      <c r="J17" s="12" t="n"/>
      <c r="K17" s="12" t="inlineStr">
        <is>
          <t>E5: Pruebas y benchmarking</t>
        </is>
      </c>
      <c r="L17" s="12">
        <f>COUNTIF(Backlog!$B$4:$B$500,K17)</f>
        <v/>
      </c>
    </row>
    <row r="18">
      <c r="A18" s="130" t="n"/>
      <c r="B18" s="12" t="n"/>
      <c r="C18" s="12" t="n"/>
      <c r="D18" s="12" t="n"/>
      <c r="E18" s="12" t="n"/>
      <c r="F18" s="12" t="n"/>
      <c r="G18" s="12" t="n"/>
      <c r="H18" s="12" t="inlineStr">
        <is>
          <t>Descartado</t>
        </is>
      </c>
      <c r="I18" s="12">
        <f>COUNTIF(Requerimientos!$K$4:$K$300,H18)</f>
        <v/>
      </c>
      <c r="J18" s="12" t="n"/>
      <c r="K18" s="12" t="inlineStr">
        <is>
          <t>E6: Reimplementación Glance</t>
        </is>
      </c>
      <c r="L18" s="12">
        <f>COUNTIF(Backlog!$B$4:$B$500,K18)</f>
        <v/>
      </c>
    </row>
    <row r="19">
      <c r="A19" s="130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inlineStr">
        <is>
          <t>E7: Documentación</t>
        </is>
      </c>
      <c r="L19" s="12">
        <f>COUNTIF(Backlog!$B$4:$B$500,K19)</f>
        <v/>
      </c>
    </row>
    <row r="20">
      <c r="A20" s="130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30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</row>
    <row r="22">
      <c r="A22" s="6" t="inlineStr">
        <is>
          <t>Objetivo</t>
        </is>
      </c>
      <c r="B22" s="6" t="inlineStr">
        <is>
          <t>Estado</t>
        </is>
      </c>
      <c r="C22" s="6" t="inlineStr">
        <is>
          <t>Avance</t>
        </is>
      </c>
      <c r="D22" s="12" t="n"/>
      <c r="E22" s="11" t="inlineStr">
        <is>
          <t>Próximos hitos</t>
        </is>
      </c>
      <c r="F22" s="1" t="n"/>
      <c r="G22" s="1" t="n"/>
      <c r="H22" s="1" t="n"/>
      <c r="I22" s="1" t="n"/>
      <c r="J22" s="12" t="n"/>
      <c r="K22" s="12" t="n"/>
      <c r="L22" s="12" t="n"/>
    </row>
    <row r="23">
      <c r="A23" s="130">
        <f>Objetivos_SMART!A4</f>
        <v/>
      </c>
      <c r="B23" s="12">
        <f>Objetivos_SMART!K4</f>
        <v/>
      </c>
      <c r="C23" s="139">
        <f>IF(B23="Cumplido",1,IF(B23="En progreso",0.5,0))</f>
        <v/>
      </c>
      <c r="D23" s="12" t="n"/>
      <c r="E23" s="6" t="inlineStr">
        <is>
          <t>Fecha</t>
        </is>
      </c>
      <c r="F23" s="6" t="inlineStr">
        <is>
          <t>Sprint</t>
        </is>
      </c>
      <c r="G23" s="6" t="inlineStr">
        <is>
          <t>Etapa</t>
        </is>
      </c>
      <c r="H23" s="6" t="inlineStr">
        <is>
          <t>Entregable principal</t>
        </is>
      </c>
      <c r="I23" s="6" t="inlineStr">
        <is>
          <t>Estado</t>
        </is>
      </c>
      <c r="J23" s="12" t="n"/>
      <c r="K23" s="12" t="n"/>
      <c r="L23" s="12" t="n"/>
    </row>
    <row r="24">
      <c r="A24" s="130">
        <f>Objetivos_SMART!A5</f>
        <v/>
      </c>
      <c r="B24" s="12">
        <f>Objetivos_SMART!K5</f>
        <v/>
      </c>
      <c r="C24" s="139">
        <f>IF(B24="Cumplido",1,IF(B24="En progreso",0.5,0))</f>
        <v/>
      </c>
      <c r="D24" s="12" t="n"/>
      <c r="E24" s="138">
        <f>Sprints!C4</f>
        <v/>
      </c>
      <c r="F24" s="12">
        <f>Sprints!A4</f>
        <v/>
      </c>
      <c r="G24" s="12">
        <f>Sprints!D4</f>
        <v/>
      </c>
      <c r="H24" s="12">
        <f>Sprints!F4</f>
        <v/>
      </c>
      <c r="I24" s="12">
        <f>Sprints!J4</f>
        <v/>
      </c>
      <c r="J24" s="12" t="n"/>
      <c r="K24" s="12" t="n"/>
      <c r="L24" s="12" t="n"/>
    </row>
    <row r="25">
      <c r="A25" s="130">
        <f>Objetivos_SMART!A6</f>
        <v/>
      </c>
      <c r="B25" s="12">
        <f>Objetivos_SMART!K6</f>
        <v/>
      </c>
      <c r="C25" s="139">
        <f>IF(B25="Cumplido",1,IF(B25="En progreso",0.5,0))</f>
        <v/>
      </c>
      <c r="D25" s="12" t="n"/>
      <c r="E25" s="138">
        <f>Sprints!C5</f>
        <v/>
      </c>
      <c r="F25" s="12">
        <f>Sprints!A5</f>
        <v/>
      </c>
      <c r="G25" s="12">
        <f>Sprints!D5</f>
        <v/>
      </c>
      <c r="H25" s="12">
        <f>Sprints!F5</f>
        <v/>
      </c>
      <c r="I25" s="12">
        <f>Sprints!J5</f>
        <v/>
      </c>
      <c r="J25" s="12" t="n"/>
      <c r="K25" s="12" t="n"/>
      <c r="L25" s="12" t="n"/>
    </row>
    <row r="26">
      <c r="A26" s="130">
        <f>Objetivos_SMART!A7</f>
        <v/>
      </c>
      <c r="B26" s="12">
        <f>Objetivos_SMART!K7</f>
        <v/>
      </c>
      <c r="C26" s="139">
        <f>IF(B26="Cumplido",1,IF(B26="En progreso",0.5,0))</f>
        <v/>
      </c>
      <c r="D26" s="12" t="n"/>
      <c r="E26" s="138">
        <f>Sprints!C6</f>
        <v/>
      </c>
      <c r="F26" s="12">
        <f>Sprints!A6</f>
        <v/>
      </c>
      <c r="G26" s="12">
        <f>Sprints!D6</f>
        <v/>
      </c>
      <c r="H26" s="12">
        <f>Sprints!F6</f>
        <v/>
      </c>
      <c r="I26" s="12">
        <f>Sprints!J6</f>
        <v/>
      </c>
      <c r="J26" s="12" t="n"/>
      <c r="K26" s="12" t="n"/>
      <c r="L26" s="12" t="n"/>
    </row>
    <row r="27">
      <c r="A27" s="130">
        <f>Objetivos_SMART!A8</f>
        <v/>
      </c>
      <c r="B27" s="12">
        <f>Objetivos_SMART!K8</f>
        <v/>
      </c>
      <c r="C27" s="139">
        <f>IF(B27="Cumplido",1,IF(B27="En progreso",0.5,0))</f>
        <v/>
      </c>
      <c r="D27" s="12" t="n"/>
      <c r="E27" s="138">
        <f>Sprints!C7</f>
        <v/>
      </c>
      <c r="F27" s="12">
        <f>Sprints!A7</f>
        <v/>
      </c>
      <c r="G27" s="12">
        <f>Sprints!D7</f>
        <v/>
      </c>
      <c r="H27" s="12">
        <f>Sprints!F7</f>
        <v/>
      </c>
      <c r="I27" s="12">
        <f>Sprints!J7</f>
        <v/>
      </c>
      <c r="J27" s="12" t="n"/>
      <c r="K27" s="12" t="n"/>
      <c r="L27" s="12" t="n"/>
    </row>
    <row r="28">
      <c r="A28" s="130" t="n"/>
      <c r="B28" s="12" t="n"/>
      <c r="C28" s="12" t="n"/>
      <c r="D28" s="12" t="n"/>
      <c r="E28" s="138">
        <f>Sprints!C8</f>
        <v/>
      </c>
      <c r="F28" s="12">
        <f>Sprints!A8</f>
        <v/>
      </c>
      <c r="G28" s="12">
        <f>Sprints!D8</f>
        <v/>
      </c>
      <c r="H28" s="12">
        <f>Sprints!F8</f>
        <v/>
      </c>
      <c r="I28" s="12">
        <f>Sprints!J8</f>
        <v/>
      </c>
      <c r="J28" s="12" t="n"/>
      <c r="K28" s="12" t="n"/>
      <c r="L28" s="12" t="n"/>
    </row>
    <row r="29">
      <c r="A29" s="130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>
      <c r="A30" s="130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1">
      <c r="A31" s="130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</row>
    <row r="32">
      <c r="A32" s="130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</row>
    <row r="33">
      <c r="A33" s="130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</row>
    <row r="34">
      <c r="A34" s="130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</row>
    <row r="35">
      <c r="A35" s="130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</row>
    <row r="36">
      <c r="A36" s="130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</row>
    <row r="37">
      <c r="A37" s="130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</row>
    <row r="38">
      <c r="A38" s="130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</row>
    <row r="39">
      <c r="A39" s="130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</row>
    <row r="40">
      <c r="A40" s="130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</row>
    <row r="41">
      <c r="A41" s="128" t="n"/>
    </row>
    <row r="42">
      <c r="A42" s="128" t="n"/>
    </row>
    <row r="43">
      <c r="A43" s="128" t="n"/>
    </row>
    <row r="44">
      <c r="A44" s="128" t="n"/>
    </row>
    <row r="45">
      <c r="A45" s="128" t="n"/>
    </row>
    <row r="46">
      <c r="A46" s="128" t="n"/>
    </row>
    <row r="47">
      <c r="A47" s="128" t="n"/>
    </row>
    <row r="48">
      <c r="A48" s="128" t="n"/>
    </row>
    <row r="49">
      <c r="A49" s="128" t="n"/>
    </row>
    <row r="50">
      <c r="A50" s="128" t="n"/>
    </row>
    <row r="51">
      <c r="A51" s="128" t="n"/>
    </row>
    <row r="52">
      <c r="A52" s="128" t="n"/>
    </row>
    <row r="53">
      <c r="A53" s="128" t="n"/>
    </row>
    <row r="54">
      <c r="A54" s="128" t="n"/>
    </row>
    <row r="55">
      <c r="A55" s="128" t="n"/>
    </row>
    <row r="56">
      <c r="A56" s="128" t="n"/>
    </row>
    <row r="57">
      <c r="A57" s="128" t="n"/>
    </row>
    <row r="58">
      <c r="A58" s="128" t="n"/>
    </row>
    <row r="59">
      <c r="A59" s="128" t="n"/>
    </row>
    <row r="60">
      <c r="A60" s="128" t="n"/>
    </row>
    <row r="61">
      <c r="A61" s="128" t="n"/>
    </row>
    <row r="62">
      <c r="A62" s="128" t="n"/>
    </row>
    <row r="63">
      <c r="A63" s="128" t="n"/>
    </row>
    <row r="64">
      <c r="A64" s="128" t="n"/>
    </row>
    <row r="65">
      <c r="A65" s="128" t="n"/>
    </row>
    <row r="66">
      <c r="A66" s="128" t="n"/>
    </row>
    <row r="67">
      <c r="A67" s="128" t="n"/>
    </row>
    <row r="68">
      <c r="A68" s="128" t="n"/>
    </row>
    <row r="69">
      <c r="A69" s="128" t="n"/>
    </row>
    <row r="70">
      <c r="A70" s="128" t="n"/>
    </row>
    <row r="71">
      <c r="A71" s="128" t="n"/>
    </row>
    <row r="72">
      <c r="A72" s="128" t="n"/>
    </row>
    <row r="73">
      <c r="A73" s="128" t="n"/>
    </row>
    <row r="74">
      <c r="A74" s="128" t="n"/>
    </row>
    <row r="75">
      <c r="A75" s="128" t="n"/>
    </row>
    <row r="76">
      <c r="A76" s="128" t="n"/>
    </row>
    <row r="77">
      <c r="A77" s="128" t="n"/>
    </row>
    <row r="78">
      <c r="A78" s="128" t="n"/>
    </row>
    <row r="79">
      <c r="A79" s="128" t="n"/>
    </row>
    <row r="80">
      <c r="A80" s="128" t="n"/>
    </row>
    <row r="81">
      <c r="A81" s="128" t="n"/>
    </row>
    <row r="82">
      <c r="A82" s="128" t="n"/>
    </row>
    <row r="83">
      <c r="A83" s="128" t="n"/>
    </row>
    <row r="84">
      <c r="A84" s="128" t="n"/>
    </row>
    <row r="85">
      <c r="A85" s="128" t="n"/>
    </row>
    <row r="86">
      <c r="A86" s="128" t="n"/>
    </row>
    <row r="87">
      <c r="A87" s="128" t="n"/>
    </row>
    <row r="88">
      <c r="A88" s="128" t="n"/>
    </row>
    <row r="89">
      <c r="A89" s="128" t="n"/>
    </row>
    <row r="90">
      <c r="A90" s="128" t="n"/>
    </row>
    <row r="91">
      <c r="A91" s="128" t="n"/>
    </row>
    <row r="92">
      <c r="A92" s="128" t="n"/>
    </row>
    <row r="93">
      <c r="A93" s="128" t="n"/>
    </row>
    <row r="94">
      <c r="A94" s="128" t="n"/>
    </row>
    <row r="95">
      <c r="A95" s="128" t="n"/>
    </row>
    <row r="96">
      <c r="A96" s="128" t="n"/>
    </row>
    <row r="97">
      <c r="A97" s="128" t="n"/>
    </row>
    <row r="98">
      <c r="A98" s="128" t="n"/>
    </row>
    <row r="99">
      <c r="A99" s="128" t="n"/>
    </row>
    <row r="100">
      <c r="A100" s="128" t="n"/>
    </row>
    <row r="101">
      <c r="A101" s="128" t="n"/>
    </row>
    <row r="102">
      <c r="A102" s="128" t="n"/>
    </row>
    <row r="103">
      <c r="A103" s="128" t="n"/>
    </row>
    <row r="104">
      <c r="A104" s="128" t="n"/>
    </row>
    <row r="105">
      <c r="A105" s="128" t="n"/>
    </row>
    <row r="106">
      <c r="A106" s="128" t="n"/>
    </row>
    <row r="107">
      <c r="A107" s="128" t="n"/>
    </row>
    <row r="108">
      <c r="A108" s="128" t="n"/>
    </row>
    <row r="109">
      <c r="A109" s="128" t="n"/>
    </row>
    <row r="110">
      <c r="A110" s="128" t="n"/>
    </row>
    <row r="111">
      <c r="A111" s="128" t="n"/>
    </row>
    <row r="112">
      <c r="A112" s="128" t="n"/>
    </row>
    <row r="113">
      <c r="A113" s="128" t="n"/>
    </row>
    <row r="114">
      <c r="A114" s="128" t="n"/>
    </row>
    <row r="115">
      <c r="A115" s="128" t="n"/>
    </row>
    <row r="116">
      <c r="A116" s="128" t="n"/>
    </row>
    <row r="117">
      <c r="A117" s="128" t="n"/>
    </row>
    <row r="118">
      <c r="A118" s="128" t="n"/>
    </row>
    <row r="119">
      <c r="A119" s="128" t="n"/>
    </row>
    <row r="120">
      <c r="A120" s="128" t="n"/>
    </row>
    <row r="121">
      <c r="A121" s="128" t="n"/>
    </row>
    <row r="122">
      <c r="A122" s="128" t="n"/>
    </row>
    <row r="123">
      <c r="A123" s="128" t="n"/>
    </row>
    <row r="124">
      <c r="A124" s="128" t="n"/>
    </row>
    <row r="125">
      <c r="A125" s="128" t="n"/>
    </row>
    <row r="126">
      <c r="A126" s="128" t="n"/>
    </row>
    <row r="127">
      <c r="A127" s="128" t="n"/>
    </row>
    <row r="128">
      <c r="A128" s="128" t="n"/>
    </row>
    <row r="129">
      <c r="A129" s="128" t="n"/>
    </row>
    <row r="130">
      <c r="A130" s="128" t="n"/>
    </row>
    <row r="131">
      <c r="A131" s="128" t="n"/>
    </row>
    <row r="132">
      <c r="A132" s="128" t="n"/>
    </row>
    <row r="133">
      <c r="A133" s="128" t="n"/>
    </row>
    <row r="134">
      <c r="A134" s="128" t="n"/>
    </row>
    <row r="135">
      <c r="A135" s="128" t="n"/>
    </row>
    <row r="136">
      <c r="A136" s="128" t="n"/>
    </row>
    <row r="137">
      <c r="A137" s="128" t="n"/>
    </row>
    <row r="138">
      <c r="A138" s="128" t="n"/>
    </row>
    <row r="139">
      <c r="A139" s="128" t="n"/>
    </row>
    <row r="140">
      <c r="A140" s="128" t="n"/>
    </row>
    <row r="141">
      <c r="A141" s="128" t="n"/>
    </row>
    <row r="142">
      <c r="A142" s="128" t="n"/>
    </row>
    <row r="143">
      <c r="A143" s="128" t="n"/>
    </row>
    <row r="144">
      <c r="A144" s="128" t="n"/>
    </row>
    <row r="145">
      <c r="A145" s="128" t="n"/>
    </row>
    <row r="146">
      <c r="A146" s="128" t="n"/>
    </row>
    <row r="147">
      <c r="A147" s="128" t="n"/>
    </row>
    <row r="148">
      <c r="A148" s="128" t="n"/>
    </row>
    <row r="149">
      <c r="A149" s="128" t="n"/>
    </row>
    <row r="150">
      <c r="A150" s="128" t="n"/>
    </row>
    <row r="151">
      <c r="A151" s="128" t="n"/>
    </row>
    <row r="152">
      <c r="A152" s="128" t="n"/>
    </row>
    <row r="153">
      <c r="A153" s="128" t="n"/>
    </row>
    <row r="154">
      <c r="A154" s="128" t="n"/>
    </row>
    <row r="155">
      <c r="A155" s="128" t="n"/>
    </row>
    <row r="156">
      <c r="A156" s="128" t="n"/>
    </row>
    <row r="157">
      <c r="A157" s="128" t="n"/>
    </row>
    <row r="158">
      <c r="A158" s="128" t="n"/>
    </row>
    <row r="159">
      <c r="A159" s="128" t="n"/>
    </row>
    <row r="160">
      <c r="A160" s="128" t="n"/>
    </row>
    <row r="161">
      <c r="A161" s="128" t="n"/>
    </row>
    <row r="162">
      <c r="A162" s="128" t="n"/>
    </row>
    <row r="163">
      <c r="A163" s="128" t="n"/>
    </row>
    <row r="164">
      <c r="A164" s="128" t="n"/>
    </row>
    <row r="165">
      <c r="A165" s="128" t="n"/>
    </row>
    <row r="166">
      <c r="A166" s="128" t="n"/>
    </row>
    <row r="167">
      <c r="A167" s="128" t="n"/>
    </row>
    <row r="168">
      <c r="A168" s="128" t="n"/>
    </row>
    <row r="169">
      <c r="A169" s="128" t="n"/>
    </row>
    <row r="170">
      <c r="A170" s="128" t="n"/>
    </row>
    <row r="171">
      <c r="A171" s="128" t="n"/>
    </row>
    <row r="172">
      <c r="A172" s="128" t="n"/>
    </row>
    <row r="173">
      <c r="A173" s="128" t="n"/>
    </row>
    <row r="174">
      <c r="A174" s="128" t="n"/>
    </row>
    <row r="175">
      <c r="A175" s="128" t="n"/>
    </row>
    <row r="176">
      <c r="A176" s="128" t="n"/>
    </row>
    <row r="177">
      <c r="A177" s="128" t="n"/>
    </row>
    <row r="178">
      <c r="A178" s="128" t="n"/>
    </row>
    <row r="179">
      <c r="A179" s="128" t="n"/>
    </row>
    <row r="180">
      <c r="A180" s="128" t="n"/>
    </row>
    <row r="181">
      <c r="A181" s="128" t="n"/>
    </row>
    <row r="182">
      <c r="A182" s="128" t="n"/>
    </row>
    <row r="183">
      <c r="A183" s="128" t="n"/>
    </row>
    <row r="184">
      <c r="A184" s="128" t="n"/>
    </row>
    <row r="185">
      <c r="A185" s="128" t="n"/>
    </row>
    <row r="186">
      <c r="A186" s="128" t="n"/>
    </row>
    <row r="187">
      <c r="A187" s="128" t="n"/>
    </row>
    <row r="188">
      <c r="A188" s="128" t="n"/>
    </row>
    <row r="189">
      <c r="A189" s="128" t="n"/>
    </row>
    <row r="190">
      <c r="A190" s="128" t="n"/>
    </row>
    <row r="191">
      <c r="A191" s="128" t="n"/>
    </row>
    <row r="192">
      <c r="A192" s="128" t="n"/>
    </row>
    <row r="193">
      <c r="A193" s="128" t="n"/>
    </row>
    <row r="194">
      <c r="A194" s="128" t="n"/>
    </row>
    <row r="195">
      <c r="A195" s="128" t="n"/>
    </row>
    <row r="196">
      <c r="A196" s="128" t="n"/>
    </row>
    <row r="197">
      <c r="A197" s="128" t="n"/>
    </row>
    <row r="198">
      <c r="A198" s="128" t="n"/>
    </row>
    <row r="199">
      <c r="A199" s="128" t="n"/>
    </row>
    <row r="200">
      <c r="A200" s="128" t="n"/>
    </row>
  </sheetData>
  <mergeCells count="10">
    <mergeCell ref="D3:F5"/>
    <mergeCell ref="J3:L5"/>
    <mergeCell ref="J7:L9"/>
    <mergeCell ref="A3:C5"/>
    <mergeCell ref="A1:L1"/>
    <mergeCell ref="G7:I9"/>
    <mergeCell ref="A7:C9"/>
    <mergeCell ref="E22:I22"/>
    <mergeCell ref="G3:I5"/>
    <mergeCell ref="D7:F9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style="136" min="1" max="1"/>
    <col width="20" customWidth="1" style="136" min="2" max="2"/>
    <col width="20" customWidth="1" style="136" min="3" max="3"/>
    <col width="20" customWidth="1" style="136" min="4" max="4"/>
    <col width="20" customWidth="1" style="136" min="5" max="5"/>
    <col width="20" customWidth="1" style="136" min="6" max="6"/>
    <col width="20" customWidth="1" style="136" min="7" max="7"/>
    <col width="20" customWidth="1" style="136" min="8" max="8"/>
  </cols>
  <sheetData>
    <row r="1">
      <c r="A1" s="6" t="inlineStr">
        <is>
          <t>Estado backlog</t>
        </is>
      </c>
      <c r="B1" s="6" t="inlineStr">
        <is>
          <t>Prioridad</t>
        </is>
      </c>
      <c r="C1" s="6" t="inlineStr">
        <is>
          <t>Responsable</t>
        </is>
      </c>
      <c r="D1" s="6" t="inlineStr">
        <is>
          <t>Tipo backlog</t>
        </is>
      </c>
      <c r="E1" s="6" t="inlineStr">
        <is>
          <t>Estado requerimiento</t>
        </is>
      </c>
      <c r="F1" s="6" t="inlineStr">
        <is>
          <t>Estado objetivo</t>
        </is>
      </c>
      <c r="G1" s="6" t="inlineStr">
        <is>
          <t>Sprint</t>
        </is>
      </c>
      <c r="H1" s="6" t="inlineStr">
        <is>
          <t>Story Points</t>
        </is>
      </c>
    </row>
    <row r="2">
      <c r="A2" s="12" t="inlineStr">
        <is>
          <t>Pendiente</t>
        </is>
      </c>
      <c r="B2" s="12" t="inlineStr">
        <is>
          <t>Must</t>
        </is>
      </c>
      <c r="C2" s="12" t="inlineStr">
        <is>
          <t>Paolo</t>
        </is>
      </c>
      <c r="D2" s="12" t="inlineStr">
        <is>
          <t>Épica</t>
        </is>
      </c>
      <c r="E2" s="12" t="inlineStr">
        <is>
          <t>Propuesto</t>
        </is>
      </c>
      <c r="F2" s="12" t="inlineStr">
        <is>
          <t>Pendiente</t>
        </is>
      </c>
      <c r="G2" s="12" t="inlineStr">
        <is>
          <t>S1</t>
        </is>
      </c>
      <c r="H2" s="12" t="n">
        <v>1</v>
      </c>
    </row>
    <row r="3">
      <c r="A3" s="12" t="inlineStr">
        <is>
          <t>En progreso</t>
        </is>
      </c>
      <c r="B3" s="12" t="inlineStr">
        <is>
          <t>Should</t>
        </is>
      </c>
      <c r="C3" s="12" t="inlineStr">
        <is>
          <t>Juan</t>
        </is>
      </c>
      <c r="D3" s="12" t="inlineStr">
        <is>
          <t>Historia</t>
        </is>
      </c>
      <c r="E3" s="12" t="inlineStr">
        <is>
          <t>Aprobado</t>
        </is>
      </c>
      <c r="F3" s="12" t="inlineStr">
        <is>
          <t>En progreso</t>
        </is>
      </c>
      <c r="G3" s="12" t="inlineStr">
        <is>
          <t>S2</t>
        </is>
      </c>
      <c r="H3" s="12" t="n">
        <v>2</v>
      </c>
    </row>
    <row r="4">
      <c r="A4" s="12" t="inlineStr">
        <is>
          <t>Hecho</t>
        </is>
      </c>
      <c r="B4" s="12" t="inlineStr">
        <is>
          <t>Could</t>
        </is>
      </c>
      <c r="C4" s="12" t="inlineStr">
        <is>
          <t>Ambos</t>
        </is>
      </c>
      <c r="D4" s="12" t="inlineStr">
        <is>
          <t>Tarea</t>
        </is>
      </c>
      <c r="E4" s="12" t="inlineStr">
        <is>
          <t>En desarrollo</t>
        </is>
      </c>
      <c r="F4" s="12" t="inlineStr">
        <is>
          <t>Cumplido</t>
        </is>
      </c>
      <c r="G4" s="12" t="inlineStr">
        <is>
          <t>S3</t>
        </is>
      </c>
      <c r="H4" s="12" t="n">
        <v>3</v>
      </c>
    </row>
    <row r="5">
      <c r="A5" s="12" t="inlineStr">
        <is>
          <t>Bloqueado</t>
        </is>
      </c>
      <c r="B5" s="12" t="inlineStr">
        <is>
          <t>Won't</t>
        </is>
      </c>
      <c r="C5" s="12" t="inlineStr">
        <is>
          <t>Sin asignar</t>
        </is>
      </c>
      <c r="D5" s="12" t="inlineStr">
        <is>
          <t>Spike</t>
        </is>
      </c>
      <c r="E5" s="12" t="inlineStr">
        <is>
          <t>Implementado</t>
        </is>
      </c>
      <c r="F5" s="12" t="inlineStr">
        <is>
          <t>Bloqueado</t>
        </is>
      </c>
      <c r="G5" s="12" t="inlineStr">
        <is>
          <t>S4</t>
        </is>
      </c>
      <c r="H5" s="12" t="n">
        <v>5</v>
      </c>
    </row>
    <row r="6">
      <c r="A6" s="12" t="inlineStr">
        <is>
          <t>Descartado</t>
        </is>
      </c>
      <c r="B6" s="12" t="n"/>
      <c r="C6" s="12" t="n"/>
      <c r="D6" s="12" t="inlineStr">
        <is>
          <t>Bug</t>
        </is>
      </c>
      <c r="E6" s="12" t="inlineStr">
        <is>
          <t>Validado</t>
        </is>
      </c>
      <c r="F6" s="12" t="n"/>
      <c r="G6" s="12" t="inlineStr">
        <is>
          <t>S5</t>
        </is>
      </c>
      <c r="H6" s="12" t="n">
        <v>8</v>
      </c>
    </row>
    <row r="7">
      <c r="A7" s="12" t="n"/>
      <c r="B7" s="12" t="n"/>
      <c r="C7" s="12" t="n"/>
      <c r="D7" s="12" t="n"/>
      <c r="E7" s="12" t="inlineStr">
        <is>
          <t>Descartado</t>
        </is>
      </c>
      <c r="F7" s="12" t="n"/>
      <c r="G7" s="12" t="n"/>
      <c r="H7" s="12" t="n">
        <v>13</v>
      </c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2026-09-29T02:32:37Z</dcterms:created>
  <dcterms:modified xmlns:dcterms="http://purl.org/dc/terms/" xmlns:xsi="http://www.w3.org/2001/XMLSchema-instance" xsi:type="dcterms:W3CDTF">2026-09-29T02:32:37Z</dcterms:modified>
</cp:coreProperties>
</file>