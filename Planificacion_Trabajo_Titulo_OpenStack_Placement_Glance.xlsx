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8ed088d91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b8be27cd68c405b"/>
    <x:sheet xmlns:r="http://schemas.openxmlformats.org/officeDocument/2006/relationships" name="Objetivos_SMART" sheetId="2" r:id="R37924ff941ff4b07"/>
    <x:sheet xmlns:r="http://schemas.openxmlformats.org/officeDocument/2006/relationships" name="Requerimientos" sheetId="3" r:id="Rd8b9b08f7f9344df"/>
    <x:sheet xmlns:r="http://schemas.openxmlformats.org/officeDocument/2006/relationships" name="Backlog" sheetId="4" r:id="R949fbda628f04fb1"/>
    <x:sheet xmlns:r="http://schemas.openxmlformats.org/officeDocument/2006/relationships" name="Trazabilidad" sheetId="5" r:id="R924f7226edbe4a6f"/>
    <x:sheet xmlns:r="http://schemas.openxmlformats.org/officeDocument/2006/relationships" name="Sprints" sheetId="6" r:id="Ra19677e4e5eb4fbf"/>
    <x:sheet xmlns:r="http://schemas.openxmlformats.org/officeDocument/2006/relationships" name="Dashboard" sheetId="7" r:id="R7c6afd635bf045d9"/>
    <x:sheet xmlns:r="http://schemas.openxmlformats.org/officeDocument/2006/relationships" name="Listas" sheetId="8" r:id="R0d574adc5c0e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2"/>
      <x:color rgb="FF1F2937"/>
      <x:name val="Carlito"/>
    </x:font>
    <x:font>
      <x:b/>
      <x:sz val="11"/>
      <x:color rgb="FF1F2937"/>
      <x:name val="Carlito"/>
    </x:font>
    <x:font>
      <x:b/>
      <x:sz val="13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8">
    <x:border/>
    <x:border/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wrapText="1"/>
    </x:xf>
    <x:xf numFmtId="0" fontId="5" fillId="5" borderId="12" xfId="0" applyNumberFormat="1" applyFont="1" applyFill="1" applyBorder="1" applyAlignment="1">
      <x:alignment horizontal="center" wrapText="1"/>
    </x:xf>
    <x:xf numFmtId="0" fontId="5" fillId="5" borderId="13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4" xfId="0" applyNumberFormat="1" applyFont="1" applyFill="1" applyBorder="1" applyAlignment="1">
      <x:alignment horizontal="center" wrapText="1"/>
    </x:xf>
    <x:xf numFmtId="0" fontId="5" fillId="5" borderId="15" xfId="0" applyNumberFormat="1" applyFont="1" applyFill="1" applyBorder="1" applyAlignment="1">
      <x:alignment horizontal="center" wrapText="1"/>
    </x:xf>
    <x:xf numFmtId="0" fontId="5" fillId="5" borderId="16" xfId="0" applyNumberFormat="1" applyFont="1" applyFill="1" applyBorder="1" applyAlignment="1">
      <x:alignment horizontal="center" wrapText="1"/>
    </x:xf>
    <x:xf numFmtId="0" fontId="5" fillId="5" borderId="17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5" fillId="5" borderId="17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6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ont>
        <x:color rgb="FF7F7F7F"/>
      </x:font>
      <x:fill>
        <x:patternFill>
          <x:bgColor rgb="FFD9D9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5bf9f8dd749ad" /><Relationship Type="http://schemas.openxmlformats.org/officeDocument/2006/relationships/theme" Target="/xl/theme/theme1.xml" Id="R5a396abc66394547" /><Relationship Type="http://schemas.openxmlformats.org/officeDocument/2006/relationships/sharedStrings" Target="/xl/sharedStrings.xml" Id="R71231d73e6954b3b" /><Relationship Type="http://schemas.openxmlformats.org/officeDocument/2006/relationships/worksheet" Target="/xl/worksheets/sheet1.xml" Id="Rab8be27cd68c405b" /><Relationship Type="http://schemas.openxmlformats.org/officeDocument/2006/relationships/worksheet" Target="/xl/worksheets/sheet2.xml" Id="R37924ff941ff4b07" /><Relationship Type="http://schemas.openxmlformats.org/officeDocument/2006/relationships/worksheet" Target="/xl/worksheets/sheet3.xml" Id="Rd8b9b08f7f9344df" /><Relationship Type="http://schemas.openxmlformats.org/officeDocument/2006/relationships/worksheet" Target="/xl/worksheets/sheet4.xml" Id="R949fbda628f04fb1" /><Relationship Type="http://schemas.openxmlformats.org/officeDocument/2006/relationships/worksheet" Target="/xl/worksheets/sheet5.xml" Id="R924f7226edbe4a6f" /><Relationship Type="http://schemas.openxmlformats.org/officeDocument/2006/relationships/worksheet" Target="/xl/worksheets/sheet6.xml" Id="Ra19677e4e5eb4fbf" /><Relationship Type="http://schemas.openxmlformats.org/officeDocument/2006/relationships/worksheet" Target="/xl/worksheets/sheet7.xml" Id="R7c6afd635bf045d9" /><Relationship Type="http://schemas.openxmlformats.org/officeDocument/2006/relationships/worksheet" Target="/xl/worksheets/sheet8.xml" Id="R0d574adc5c0e43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788fcb601a459b" /><Relationship Type="http://schemas.openxmlformats.org/officeDocument/2006/relationships/chart" Target="/xl/drawings/charts/chart2.xml" Id="R67c7c99a7fd04c0a" /><Relationship Type="http://schemas.openxmlformats.org/officeDocument/2006/relationships/chart" Target="/xl/drawings/charts/chart3.xml" Id="R5d97628c911748d8" /><Relationship Type="http://schemas.openxmlformats.org/officeDocument/2006/relationships/chart" Target="/xl/drawings/charts/chart4.xml" Id="R0615d7e2d3cc49b7" /><Relationship Type="http://schemas.openxmlformats.org/officeDocument/2006/relationships/chart" Target="/xl/drawings/charts/chart5.xml" Id="R6557527ab0d844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Story Points por Sprint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SP planificados</c:v>
          </c:tx>
          <c:cat>
            <c:strRef>
              <c:f>'Dashboard'!$A$13:$A$17</c:f>
              <c:strCache>
                <c:ptCount val="0"/>
              </c:strCache>
            </c:strRef>
          </c:cat>
          <c:val>
            <c:numRef>
              <c:f>'Dashboard'!$B$13:$B$17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SP completados</c:v>
          </c:tx>
          <c:cat>
            <c:strRef>
              <c:f>'Dashboard'!$A$13:$A$17</c:f>
              <c:strCache>
                <c:ptCount val="0"/>
              </c:strCache>
            </c:strRef>
          </c:cat>
          <c:val>
            <c:numRef>
              <c:f>'Dashboard'!$C$13:$C$17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del Backlog</a:t>
            </a:r>
          </a:p>
        </c:rich>
      </c:tx>
    </c:title>
    <c:plotArea>
      <c:doughnutChart>
        <c:ser>
          <c:idx val="0"/>
          <c:order val="0"/>
          <c:tx>
            <c:v>Cantidad</c:v>
          </c:tx>
          <c:cat>
            <c:strRef>
              <c:f>'Dashboard'!$E$13:$E$17</c:f>
              <c:strCache>
                <c:ptCount val="0"/>
              </c:strCache>
            </c:strRef>
          </c:cat>
          <c:val>
            <c:numRef>
              <c:f>'Dashboard'!$F$13:$F$17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Requerimientos por Estado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'Dashboard'!$H$13:$H$18</c:f>
              <c:strCache>
                <c:ptCount val="0"/>
              </c:strCache>
            </c:strRef>
          </c:cat>
          <c:val>
            <c:numRef>
              <c:f>'Dashboard'!$I$13:$I$18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Backlog por Épica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'Dashboard'!$K$13:$K$19</c:f>
              <c:strCache>
                <c:ptCount val="0"/>
              </c:strCache>
            </c:strRef>
          </c:cat>
          <c:val>
            <c:numRef>
              <c:f>'Dashboard'!$L$13:$L$19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Avance de Objetivos SMART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Estado</c:v>
          </c:tx>
          <c:cat>
            <c:strRef>
              <c:f>'Dashboard'!$A$23:$A$27</c:f>
              <c:strCache>
                <c:ptCount val="0"/>
              </c:strCache>
            </c:strRef>
          </c:cat>
          <c:val>
            <c:numRef>
              <c:f>'Dashboard'!$B$23:$B$27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Avance</c:v>
          </c:tx>
          <c:cat>
            <c:strRef>
              <c:f>'Dashboard'!$A$23:$A$27</c:f>
              <c:strCache>
                <c:ptCount val="0"/>
              </c:strCache>
            </c:strRef>
          </c:cat>
          <c:val>
            <c:numRef>
              <c:f>'Dashboard'!$C$23:$C$27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788fcb601a459b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c7c99a7fd04c0a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97628c911748d8"/>
        </a:graphicData>
      </a:graphic>
    </xdr:graphicFrame>
    <xdr:clientData/>
  </xdr:twoCellAnchor>
  <xdr:twoCellAnchor>
    <xdr:from>
      <xdr:col>6</xdr:col>
      <xdr:colOff>0</xdr:colOff>
      <xdr:row>47</xdr:row>
      <xdr:rowOff>0</xdr:rowOff>
    </xdr:from>
    <xdr:to>
      <xdr:col>12</xdr:col>
      <xdr:colOff>0</xdr:colOff>
      <xdr:row>64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15d7e2d3cc49b7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6</xdr:col>
      <xdr:colOff>0</xdr:colOff>
      <xdr:row>82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57527ab0d844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bjetivosTable" displayName="ObjetivosTable" ref="A3:L8" headerRowCount="1" totalsRowCount="0" totalsRowShown="0">
  <x:tableColumns count="12">
    <x:tableColumn id="1" name="ID"/>
    <x:tableColumn id="2" name="Objetivo específico"/>
    <x:tableColumn id="3" name="Specific"/>
    <x:tableColumn id="4" name="Measurable"/>
    <x:tableColumn id="5" name="Achievable"/>
    <x:tableColumn id="6" name="Relevant"/>
    <x:tableColumn id="7" name="Time-bound"/>
    <x:tableColumn id="8" name="Indicador"/>
    <x:tableColumn id="9" name="Meta"/>
    <x:tableColumn id="10" name="Fecha límite"/>
    <x:tableColumn id="11" name="Estado"/>
    <x:tableColumn id="12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erimientosTable" displayName="RequerimientosTable" ref="A3:M22" headerRowCount="1" totalsRowCount="0" totalsRowShown="0">
  <x:tableColumns count="13">
    <x:tableColumn id="1" name="ID"/>
    <x:tableColumn id="2" name="Tipo"/>
    <x:tableColumn id="3" name="Nombre"/>
    <x:tableColumn id="4" name="Descripción"/>
    <x:tableColumn id="5" name="Justificación"/>
    <x:tableColumn id="6" name="Fuente"/>
    <x:tableColumn id="7" name="Objetivo relacionado"/>
    <x:tableColumn id="8" name="Prioridad"/>
    <x:tableColumn id="9" name="Criterio de aceptación"/>
    <x:tableColumn id="10" name="Método de verificación"/>
    <x:tableColumn id="11" name="Estado"/>
    <x:tableColumn id="12" name="Responsable"/>
    <x:tableColumn id="13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logTable" displayName="BacklogTable" ref="A3:Q29" headerRowCount="1" totalsRowCount="0" totalsRowShown="0">
  <x:tableColumns count="17">
    <x:tableColumn id="1" name="ID"/>
    <x:tableColumn id="2" name="Épica"/>
    <x:tableColumn id="3" name="Tipo"/>
    <x:tableColumn id="4" name="Descripción"/>
    <x:tableColumn id="5" name="Objetivo"/>
    <x:tableColumn id="6" name="Requerimiento"/>
    <x:tableColumn id="7" name="Prioridad"/>
    <x:tableColumn id="8" name="Criterio de aceptación"/>
    <x:tableColumn id="9" name="Story Points"/>
    <x:tableColumn id="10" name="Responsable"/>
    <x:tableColumn id="11" name="Sprint"/>
    <x:tableColumn id="12" name="Estado"/>
    <x:tableColumn id="13" name="Dependencia"/>
    <x:tableColumn id="14" name="Fecha inicio"/>
    <x:tableColumn id="15" name="Fecha límite"/>
    <x:tableColumn id="16" name="Evidencia"/>
    <x:tableColumn id="17" name="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zabilidadTable" displayName="TrazabilidadTable" ref="A3:H11" headerRowCount="1" totalsRowCount="0" totalsRowShown="0">
  <x:tableColumns count="8">
    <x:tableColumn id="1" name="ID"/>
    <x:tableColumn id="2" name="Aspecto del problema"/>
    <x:tableColumn id="3" name="Objetivo"/>
    <x:tableColumn id="4" name="Requerimiento"/>
    <x:tableColumn id="5" name="Backlog relacionado"/>
    <x:tableColumn id="6" name="Criterio de validación"/>
    <x:tableColumn id="7" name="Evidencia esperada"/>
    <x:tableColumn id="8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rintsTable" displayName="SprintsTable" ref="A3:K8" headerRowCount="1" totalsRowCount="0" totalsRowShown="0">
  <x:tableColumns count="11">
    <x:tableColumn id="1" name="Sprint"/>
    <x:tableColumn id="2" name="Inicio"/>
    <x:tableColumn id="3" name="Fin"/>
    <x:tableColumn id="4" name="Etapa"/>
    <x:tableColumn id="5" name="Objetivo principal"/>
    <x:tableColumn id="6" name="Entregables"/>
    <x:tableColumn id="7" name="Story Points planificados"/>
    <x:tableColumn id="8" name="Story Points completados"/>
    <x:tableColumn id="9" name="% avance"/>
    <x:tableColumn id="10" name="Estado"/>
    <x:tableColumn id="11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8055ccc73449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1a6401d75e44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ffa289bc2b4d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f5a80f437b4c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91316a909946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480bdf8e792a482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4" max="4" width="28" hidden="0" customWidth="1"/>
    <x:col min="5" max="5" width="18" hidden="0" customWidth="1"/>
  </x:cols>
  <x:sheetData>
    <x:row r="1" ht="32" customHeight="1">
      <x:c r="A1" s="17" t="str">
        <x:v>Planificación y Trazabilidad — Trabajo de Título</x:v>
      </x:c>
      <x:c r="B1" s="17"/>
      <x:c r="C1" s="17"/>
      <x:c r="D1" s="17"/>
      <x:c r="E1" s="17"/>
      <x:c r="F1" s="17"/>
      <x:c r="G1" s="17"/>
      <x:c r="H1" s="17"/>
    </x:row>
    <x:row r="2">
      <x:c r="A2" s="42" t="str">
        <x:v>Reimplementación de Servicios OpenStack mediante un Lenguaje Compilado</x:v>
      </x:c>
      <x:c r="B2" s="42"/>
      <x:c r="C2" s="42"/>
      <x:c r="D2" s="42"/>
      <x:c r="E2" s="42"/>
      <x:c r="F2" s="42"/>
      <x:c r="G2" s="42"/>
      <x:c r="H2" s="42"/>
    </x:row>
    <x:row r="3">
      <x:c r="A3" s="128"/>
    </x:row>
    <x:row r="4">
      <x:c r="A4" s="129" t="str">
        <x:v>Universidad</x:v>
      </x:c>
      <x:c r="B4" s="12" t="str">
        <x:v>Universidad Católica de Temuco</x:v>
      </x:c>
      <x:c r="D4" s="42" t="str">
        <x:v>Indicadores del proyecto</x:v>
      </x:c>
      <x:c r="E4" s="42"/>
      <x:c r="F4" s="42"/>
      <x:c r="G4" s="42"/>
      <x:c r="H4" s="42"/>
    </x:row>
    <x:row r="5">
      <x:c r="A5" s="129" t="str">
        <x:v>Carrera</x:v>
      </x:c>
      <x:c r="B5" s="12" t="str">
        <x:v>Ingeniería Civil en Informática</x:v>
      </x:c>
      <x:c r="D5" s="47" t="str">
        <x:v>Total de objetivos</x:v>
      </x:c>
      <x:c r="E5" t="n">
        <x:f>COUNTA(Objetivos_SMART!$A$4:$A$200)</x:f>
        <x:v>5</x:v>
      </x:c>
    </x:row>
    <x:row r="6">
      <x:c r="A6" s="129" t="str">
        <x:v>Integrantes</x:v>
      </x:c>
      <x:c r="B6" s="12" t="str">
        <x:v>Paolo Castañon Barrera / Juan Claudio Cárdenas Uribe</x:v>
      </x:c>
      <x:c r="D6" s="47" t="str">
        <x:v>Total de requerimientos</x:v>
      </x:c>
      <x:c r="E6" t="n">
        <x:f>COUNTA(Requerimientos!$A$4:$A$300)</x:f>
        <x:v>19</x:v>
      </x:c>
    </x:row>
    <x:row r="7">
      <x:c r="A7" s="129" t="str">
        <x:v>Profesor guía</x:v>
      </x:c>
      <x:c r="B7" s="12" t="str">
        <x:v>Alejandro Mellado Gatica</x:v>
      </x:c>
      <x:c r="D7" s="47" t="str">
        <x:v>Total de elementos del backlog</x:v>
      </x:c>
      <x:c r="E7" t="n">
        <x:f>COUNTA(Backlog!$A$4:$A$500)</x:f>
        <x:v>26</x:v>
      </x:c>
    </x:row>
    <x:row r="8">
      <x:c r="A8" s="129" t="str">
        <x:v>Servicio principal</x:v>
      </x:c>
      <x:c r="B8" s="12" t="str">
        <x:v>OpenStack Placement</x:v>
      </x:c>
      <x:c r="D8" s="47" t="str">
        <x:v>Story Points totales</x:v>
      </x:c>
      <x:c r="E8" t="n">
        <x:f>SUM(Backlog!$I$4:$I$500)</x:f>
        <x:v>185</x:v>
      </x:c>
    </x:row>
    <x:row r="9">
      <x:c r="A9" s="129" t="str">
        <x:v>Segundo servicio confirmado</x:v>
      </x:c>
      <x:c r="B9" s="12" t="str">
        <x:v>OpenStack Glance</x:v>
      </x:c>
      <x:c r="D9" s="47" t="str">
        <x:v>Story Points completados</x:v>
      </x:c>
      <x:c r="E9" t="n">
        <x:f>SUMIF(Backlog!$L$4:$L$500,"Hecho",Backlog!$I$4:$I$500)</x:f>
        <x:v>0</x:v>
      </x:c>
    </x:row>
    <x:row r="10">
      <x:c r="A10" s="129" t="str">
        <x:v>Lenguaje propuesto</x:v>
      </x:c>
      <x:c r="B10" s="12" t="str">
        <x:v>Go</x:v>
      </x:c>
      <x:c r="D10" s="47" t="str">
        <x:v>Porcentaje de avance</x:v>
      </x:c>
      <x:c r="E10" s="36" t="n">
        <x:f>IFERROR(E9/E8,0)</x:f>
        <x:v>0</x:v>
      </x:c>
    </x:row>
    <x:row r="11">
      <x:c r="A11" s="129" t="str">
        <x:v>Entorno</x:v>
      </x:c>
      <x:c r="B11" s="12" t="str">
        <x:v>OpenStack de un nodo mediante DevStack</x:v>
      </x:c>
      <x:c r="D11" s="47" t="str">
        <x:v>Requerimientos validados</x:v>
      </x:c>
      <x:c r="E11" t="n">
        <x:f>COUNTIF(Requerimientos!$K$4:$K$300,"Validado")</x:f>
        <x:v>0</x:v>
      </x:c>
    </x:row>
    <x:row r="12">
      <x:c r="A12" s="129" t="str">
        <x:v>Fecha Etapa 1</x:v>
      </x:c>
      <x:c r="B12" s="24" t="n">
        <x:v>46269</x:v>
      </x:c>
      <x:c r="D12" s="47" t="str">
        <x:v>Tareas bloqueadas</x:v>
      </x:c>
      <x:c r="E12" t="n">
        <x:f>COUNTIF(Backlog!$L$4:$L$500,"Bloqueado")</x:f>
        <x:v>0</x:v>
      </x:c>
    </x:row>
    <x:row r="13">
      <x:c r="A13" s="129" t="str">
        <x:v>Fecha final</x:v>
      </x:c>
      <x:c r="B13" s="24" t="n">
        <x:v>46360</x:v>
      </x:c>
    </x:row>
    <x:row r="14">
      <x:c r="A14" s="128"/>
    </x:row>
    <x:row r="15">
      <x:c r="A15" s="128"/>
    </x:row>
    <x:row r="16">
      <x:c r="A16" s="42" t="str">
        <x:v>Enfoque metodológico</x:v>
      </x:c>
      <x:c r="B16" s="42"/>
      <x:c r="C16" s="42"/>
      <x:c r="D16" s="42"/>
      <x:c r="E16" s="42"/>
      <x:c r="F16" s="42"/>
      <x:c r="G16" s="42"/>
      <x:c r="H16" s="42"/>
    </x:row>
    <x:row r="17">
      <x:c r="A17" s="130" t="str">
        <x:v>La hipótesis del proyecto no asume que Python sea necesariamente lento. La reimplementación en Go será evaluada experimentalmente mediante compatibilidad funcional, latencia, throughput, consumo de CPU y memoria. El éxito del trabajo depende de obtener resultados reproducibles y de demostrar el grado de compatibilidad alcanzado, incluso si la mejora de rendimiento es limitada.</x:v>
      </x:c>
      <x:c r="B17" s="52"/>
      <x:c r="C17" s="52"/>
      <x:c r="D17" s="52"/>
      <x:c r="E17" s="52"/>
      <x:c r="F17" s="52"/>
      <x:c r="G17" s="52"/>
      <x:c r="H17" s="52"/>
    </x:row>
    <x:row r="18">
      <x:c r="A18" s="130"/>
      <x:c r="B18" s="52"/>
      <x:c r="C18" s="52"/>
      <x:c r="D18" s="52"/>
      <x:c r="E18" s="52"/>
      <x:c r="F18" s="52"/>
      <x:c r="G18" s="52"/>
      <x:c r="H18" s="52"/>
    </x:row>
    <x:row r="19">
      <x:c r="A19" s="130"/>
      <x:c r="B19" s="52"/>
      <x:c r="C19" s="52"/>
      <x:c r="D19" s="52"/>
      <x:c r="E19" s="52"/>
      <x:c r="F19" s="52"/>
      <x:c r="G19" s="52"/>
      <x:c r="H19" s="52"/>
    </x:row>
    <x:row r="20">
      <x:c r="A20" s="130"/>
      <x:c r="B20" s="52"/>
      <x:c r="C20" s="52"/>
      <x:c r="D20" s="52"/>
      <x:c r="E20" s="52"/>
      <x:c r="F20" s="52"/>
      <x:c r="G20" s="52"/>
      <x:c r="H20" s="52"/>
    </x:row>
    <x:row r="21">
      <x:c r="A21" s="128"/>
    </x:row>
    <x:row r="22">
      <x:c r="A22" s="128"/>
    </x:row>
    <x:row r="23">
      <x:c r="A23" s="128"/>
    </x:row>
    <x:row r="24">
      <x:c r="A24" s="128"/>
    </x:row>
    <x:row r="25">
      <x:c r="A25" s="128"/>
    </x:row>
    <x:row r="26">
      <x:c r="A26" s="128"/>
    </x:row>
    <x:row r="27">
      <x:c r="A27" s="128"/>
    </x:row>
    <x:row r="28">
      <x:c r="A28" s="128"/>
    </x:row>
    <x:row r="29">
      <x:c r="A29" s="128"/>
    </x:row>
    <x:row r="30">
      <x:c r="A30" s="128"/>
    </x:row>
    <x:row r="31">
      <x:c r="A31" s="128"/>
    </x:row>
    <x:row r="32">
      <x:c r="A32" s="128"/>
    </x:row>
    <x:row r="33">
      <x:c r="A33" s="128"/>
    </x:row>
    <x:row r="34">
      <x:c r="A34" s="128"/>
    </x:row>
    <x:row r="35">
      <x:c r="A35" s="128"/>
    </x:row>
    <x:row r="36">
      <x:c r="A36" s="128"/>
    </x:row>
    <x:row r="37">
      <x:c r="A37" s="128"/>
    </x:row>
    <x:row r="38">
      <x:c r="A38" s="128"/>
    </x:row>
    <x:row r="39">
      <x:c r="A39" s="128"/>
    </x:row>
    <x:row r="40">
      <x:c r="A40" s="128"/>
    </x:row>
    <x:row r="41">
      <x:c r="A41" s="128"/>
    </x:row>
    <x:row r="42">
      <x:c r="A42" s="128"/>
    </x:row>
    <x:row r="43">
      <x:c r="A43" s="128"/>
    </x:row>
    <x:row r="44">
      <x:c r="A44" s="128"/>
    </x:row>
    <x:row r="45">
      <x:c r="A45" s="128"/>
    </x:row>
    <x:row r="46">
      <x:c r="A46" s="128"/>
    </x:row>
    <x:row r="47">
      <x:c r="A47" s="128"/>
    </x:row>
    <x:row r="48">
      <x:c r="A48" s="128"/>
    </x:row>
    <x:row r="49">
      <x:c r="A49" s="128"/>
    </x:row>
    <x:row r="50">
      <x:c r="A50" s="128"/>
    </x:row>
    <x:row r="51">
      <x:c r="A51" s="128"/>
    </x:row>
    <x:row r="52">
      <x:c r="A52" s="128"/>
    </x:row>
    <x:row r="53">
      <x:c r="A53" s="128"/>
    </x:row>
    <x:row r="54">
      <x:c r="A54" s="128"/>
    </x:row>
    <x:row r="55">
      <x:c r="A55" s="128"/>
    </x:row>
    <x:row r="56">
      <x:c r="A56" s="128"/>
    </x:row>
    <x:row r="57">
      <x:c r="A57" s="128"/>
    </x:row>
    <x:row r="58">
      <x:c r="A58" s="128"/>
    </x:row>
    <x:row r="59">
      <x:c r="A59" s="128"/>
    </x:row>
    <x:row r="60">
      <x:c r="A60" s="128"/>
    </x:row>
    <x:row r="61">
      <x:c r="A61" s="128"/>
    </x:row>
    <x:row r="62">
      <x:c r="A62" s="128"/>
    </x:row>
    <x:row r="63">
      <x:c r="A63" s="128"/>
    </x:row>
    <x:row r="64">
      <x:c r="A64" s="128"/>
    </x:row>
    <x:row r="65">
      <x:c r="A65" s="128"/>
    </x:row>
    <x:row r="66">
      <x:c r="A66" s="128"/>
    </x:row>
    <x:row r="67">
      <x:c r="A67" s="128"/>
    </x:row>
    <x:row r="68">
      <x:c r="A68" s="128"/>
    </x:row>
    <x:row r="69">
      <x:c r="A69" s="128"/>
    </x:row>
    <x:row r="70">
      <x:c r="A70" s="128"/>
    </x:row>
    <x:row r="71">
      <x:c r="A71" s="128"/>
    </x:row>
    <x:row r="72">
      <x:c r="A72" s="128"/>
    </x:row>
    <x:row r="73">
      <x:c r="A73" s="128"/>
    </x:row>
    <x:row r="74">
      <x:c r="A74" s="128"/>
    </x:row>
    <x:row r="75">
      <x:c r="A75" s="128"/>
    </x:row>
    <x:row r="76">
      <x:c r="A76" s="128"/>
    </x:row>
    <x:row r="77">
      <x:c r="A77" s="128"/>
    </x:row>
    <x:row r="78">
      <x:c r="A78" s="128"/>
    </x:row>
    <x:row r="79">
      <x:c r="A79" s="128"/>
    </x:row>
    <x:row r="80">
      <x:c r="A80" s="128"/>
    </x:row>
    <x:row r="81">
      <x:c r="A81" s="128"/>
    </x:row>
    <x:row r="82">
      <x:c r="A82" s="128"/>
    </x:row>
    <x:row r="83">
      <x:c r="A83" s="128"/>
    </x:row>
    <x:row r="84">
      <x:c r="A84" s="128"/>
    </x:row>
    <x:row r="85">
      <x:c r="A85" s="128"/>
    </x:row>
    <x:row r="86">
      <x:c r="A86" s="128"/>
    </x:row>
    <x:row r="87">
      <x:c r="A87" s="128"/>
    </x:row>
    <x:row r="88">
      <x:c r="A88" s="128"/>
    </x:row>
    <x:row r="89">
      <x:c r="A89" s="128"/>
    </x:row>
    <x:row r="90">
      <x:c r="A90" s="128"/>
    </x:row>
    <x:row r="91">
      <x:c r="A91" s="128"/>
    </x:row>
    <x:row r="92">
      <x:c r="A92" s="128"/>
    </x:row>
    <x:row r="93">
      <x:c r="A93" s="128"/>
    </x:row>
    <x:row r="94">
      <x:c r="A94" s="128"/>
    </x:row>
    <x:row r="95">
      <x:c r="A95" s="128"/>
    </x:row>
    <x:row r="96">
      <x:c r="A96" s="128"/>
    </x:row>
    <x:row r="97">
      <x:c r="A97" s="128"/>
    </x:row>
    <x:row r="98">
      <x:c r="A98" s="128"/>
    </x:row>
    <x:row r="99">
      <x:c r="A99" s="128"/>
    </x:row>
    <x:row r="100">
      <x:c r="A100" s="128"/>
    </x:row>
    <x:row r="101">
      <x:c r="A101" s="128"/>
    </x:row>
    <x:row r="102">
      <x:c r="A102" s="128"/>
    </x:row>
    <x:row r="103">
      <x:c r="A103" s="128"/>
    </x:row>
    <x:row r="104">
      <x:c r="A104" s="128"/>
    </x:row>
    <x:row r="105">
      <x:c r="A105" s="128"/>
    </x:row>
    <x:row r="106">
      <x:c r="A106" s="128"/>
    </x:row>
    <x:row r="107">
      <x:c r="A107" s="128"/>
    </x:row>
    <x:row r="108">
      <x:c r="A108" s="128"/>
    </x:row>
    <x:row r="109">
      <x:c r="A109" s="128"/>
    </x:row>
    <x:row r="110">
      <x:c r="A110" s="128"/>
    </x:row>
    <x:row r="111">
      <x:c r="A111" s="128"/>
    </x:row>
    <x:row r="112">
      <x:c r="A112" s="128"/>
    </x:row>
    <x:row r="113">
      <x:c r="A113" s="128"/>
    </x:row>
    <x:row r="114">
      <x:c r="A114" s="128"/>
    </x:row>
    <x:row r="115">
      <x:c r="A115" s="128"/>
    </x:row>
    <x:row r="116">
      <x:c r="A116" s="128"/>
    </x:row>
    <x:row r="117">
      <x:c r="A117" s="128"/>
    </x:row>
    <x:row r="118">
      <x:c r="A118" s="128"/>
    </x:row>
    <x:row r="119">
      <x:c r="A119" s="128"/>
    </x:row>
    <x:row r="120">
      <x:c r="A120" s="128"/>
    </x:row>
    <x:row r="121">
      <x:c r="A121" s="128"/>
    </x:row>
    <x:row r="122">
      <x:c r="A122" s="128"/>
    </x:row>
    <x:row r="123">
      <x:c r="A123" s="128"/>
    </x:row>
    <x:row r="124">
      <x:c r="A124" s="128"/>
    </x:row>
    <x:row r="125">
      <x:c r="A125" s="128"/>
    </x:row>
    <x:row r="126">
      <x:c r="A126" s="128"/>
    </x:row>
    <x:row r="127">
      <x:c r="A127" s="128"/>
    </x:row>
    <x:row r="128">
      <x:c r="A128" s="128"/>
    </x:row>
    <x:row r="129">
      <x:c r="A129" s="128"/>
    </x:row>
    <x:row r="130">
      <x:c r="A130" s="128"/>
    </x:row>
    <x:row r="131">
      <x:c r="A131" s="128"/>
    </x:row>
    <x:row r="132">
      <x:c r="A132" s="128"/>
    </x:row>
    <x:row r="133">
      <x:c r="A133" s="128"/>
    </x:row>
    <x:row r="134">
      <x:c r="A134" s="128"/>
    </x:row>
    <x:row r="135">
      <x:c r="A135" s="128"/>
    </x:row>
    <x:row r="136">
      <x:c r="A136" s="128"/>
    </x:row>
    <x:row r="137">
      <x:c r="A137" s="128"/>
    </x:row>
    <x:row r="138">
      <x:c r="A138" s="128"/>
    </x:row>
    <x:row r="139">
      <x:c r="A139" s="128"/>
    </x:row>
    <x:row r="140">
      <x:c r="A140" s="128"/>
    </x:row>
    <x:row r="141">
      <x:c r="A141" s="128"/>
    </x:row>
    <x:row r="142">
      <x:c r="A142" s="128"/>
    </x:row>
    <x:row r="143">
      <x:c r="A143" s="128"/>
    </x:row>
    <x:row r="144">
      <x:c r="A144" s="128"/>
    </x:row>
    <x:row r="145">
      <x:c r="A145" s="128"/>
    </x:row>
    <x:row r="146">
      <x:c r="A146" s="128"/>
    </x:row>
    <x:row r="147">
      <x:c r="A147" s="128"/>
    </x:row>
    <x:row r="148">
      <x:c r="A148" s="128"/>
    </x:row>
    <x:row r="149">
      <x:c r="A149" s="128"/>
    </x:row>
    <x:row r="150">
      <x:c r="A150" s="128"/>
    </x:row>
    <x:row r="151">
      <x:c r="A151" s="128"/>
    </x:row>
    <x:row r="152">
      <x:c r="A152" s="128"/>
    </x:row>
    <x:row r="153">
      <x:c r="A153" s="128"/>
    </x:row>
    <x:row r="154">
      <x:c r="A154" s="128"/>
    </x:row>
    <x:row r="155">
      <x:c r="A155" s="128"/>
    </x:row>
    <x:row r="156">
      <x:c r="A156" s="128"/>
    </x:row>
    <x:row r="157">
      <x:c r="A157" s="128"/>
    </x:row>
    <x:row r="158">
      <x:c r="A158" s="128"/>
    </x:row>
    <x:row r="159">
      <x:c r="A159" s="128"/>
    </x:row>
    <x:row r="160">
      <x:c r="A160" s="128"/>
    </x:row>
    <x:row r="161">
      <x:c r="A161" s="128"/>
    </x:row>
    <x:row r="162">
      <x:c r="A162" s="128"/>
    </x:row>
    <x:row r="163">
      <x:c r="A163" s="128"/>
    </x:row>
    <x:row r="164">
      <x:c r="A164" s="128"/>
    </x:row>
    <x:row r="165">
      <x:c r="A165" s="128"/>
    </x:row>
    <x:row r="166">
      <x:c r="A166" s="128"/>
    </x:row>
    <x:row r="167">
      <x:c r="A167" s="128"/>
    </x:row>
    <x:row r="168">
      <x:c r="A168" s="128"/>
    </x:row>
    <x:row r="169">
      <x:c r="A169" s="128"/>
    </x:row>
    <x:row r="170">
      <x:c r="A170" s="128"/>
    </x:row>
    <x:row r="171">
      <x:c r="A171" s="128"/>
    </x:row>
    <x:row r="172">
      <x:c r="A172" s="128"/>
    </x:row>
    <x:row r="173">
      <x:c r="A173" s="128"/>
    </x:row>
    <x:row r="174">
      <x:c r="A174" s="128"/>
    </x:row>
    <x:row r="175">
      <x:c r="A175" s="128"/>
    </x:row>
    <x:row r="176">
      <x:c r="A176" s="128"/>
    </x:row>
    <x:row r="177">
      <x:c r="A177" s="128"/>
    </x:row>
    <x:row r="178">
      <x:c r="A178" s="128"/>
    </x:row>
    <x:row r="179">
      <x:c r="A179" s="128"/>
    </x:row>
    <x:row r="180">
      <x:c r="A180" s="128"/>
    </x:row>
    <x:row r="181">
      <x:c r="A181" s="128"/>
    </x:row>
    <x:row r="182">
      <x:c r="A182" s="128"/>
    </x:row>
    <x:row r="183">
      <x:c r="A183" s="128"/>
    </x:row>
    <x:row r="184">
      <x:c r="A184" s="128"/>
    </x:row>
    <x:row r="185">
      <x:c r="A185" s="128"/>
    </x:row>
    <x:row r="186">
      <x:c r="A186" s="128"/>
    </x:row>
    <x:row r="187">
      <x:c r="A187" s="128"/>
    </x:row>
    <x:row r="188">
      <x:c r="A188" s="128"/>
    </x:row>
    <x:row r="189">
      <x:c r="A189" s="128"/>
    </x:row>
    <x:row r="190">
      <x:c r="A190" s="128"/>
    </x:row>
    <x:row r="191">
      <x:c r="A191" s="128"/>
    </x:row>
    <x:row r="192">
      <x:c r="A192" s="128"/>
    </x:row>
    <x:row r="193">
      <x:c r="A193" s="128"/>
    </x:row>
    <x:row r="194">
      <x:c r="A194" s="128"/>
    </x:row>
    <x:row r="195">
      <x:c r="A195" s="128"/>
    </x:row>
    <x:row r="196">
      <x:c r="A196" s="128"/>
    </x:row>
    <x:row r="197">
      <x:c r="A197" s="128"/>
    </x:row>
    <x:row r="198">
      <x:c r="A198" s="128"/>
    </x:row>
    <x:row r="199">
      <x:c r="A199" s="128"/>
    </x:row>
    <x:row r="200">
      <x:c r="A200" s="128"/>
    </x:row>
  </x:sheetData>
  <x:mergeCells>
    <x:mergeCell ref="A1:H1"/>
    <x:mergeCell ref="A2:H2"/>
    <x:mergeCell ref="D4:H4"/>
    <x:mergeCell ref="A16:H16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30" hidden="0" customWidth="1"/>
    <x:col min="4" max="4" width="30" hidden="0" customWidth="1"/>
    <x:col min="5" max="5" width="28" hidden="0" customWidth="1"/>
    <x:col min="6" max="6" width="28" hidden="0" customWidth="1"/>
    <x:col min="7" max="7" width="24" hidden="0" customWidth="1"/>
    <x:col min="8" max="8" width="30" hidden="0" customWidth="1"/>
    <x:col min="9" max="9" width="30" hidden="0" customWidth="1"/>
    <x:col min="10" max="10" width="14" hidden="0" customWidth="1"/>
    <x:col min="11" max="11" width="16" hidden="0" customWidth="1"/>
    <x:col min="12" max="12" width="28" hidden="0" customWidth="1"/>
  </x:cols>
  <x:sheetData>
    <x:row r="1" ht="28" customHeight="1">
      <x:c r="A1" s="17" t="str">
        <x:v>Objetivos Específicos SMART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28"/>
    </x:row>
    <x:row r="3">
      <x:c r="A3" s="6" t="str">
        <x:v>ID</x:v>
      </x:c>
      <x:c r="B3" s="6" t="str">
        <x:v>Objetivo específico</x:v>
      </x:c>
      <x:c r="C3" s="6" t="str">
        <x:v>Specific</x:v>
      </x:c>
      <x:c r="D3" s="6" t="str">
        <x:v>Measurable</x:v>
      </x:c>
      <x:c r="E3" s="6" t="str">
        <x:v>Achievable</x:v>
      </x:c>
      <x:c r="F3" s="6" t="str">
        <x:v>Relevant</x:v>
      </x:c>
      <x:c r="G3" s="6" t="str">
        <x:v>Time-bound</x:v>
      </x:c>
      <x:c r="H3" s="6" t="str">
        <x:v>Indicador</x:v>
      </x:c>
      <x:c r="I3" s="6" t="str">
        <x:v>Meta</x:v>
      </x:c>
      <x:c r="J3" s="6" t="str">
        <x:v>Fecha límite</x:v>
      </x:c>
      <x:c r="K3" s="6" t="str">
        <x:v>Estado</x:v>
      </x:c>
      <x:c r="L3" s="6" t="str">
        <x:v>Observaciones</x:v>
      </x:c>
    </x:row>
    <x:row r="4">
      <x:c r="A4" s="130" t="str">
        <x:v>OE1</x:v>
      </x:c>
      <x:c r="B4" s="12" t="str">
        <x:v>Analizar antes del 2 de octubre de 2026 la arquitectura, API, dependencias e interacción de OpenStack Placement y Glance con los demás componentes necesarios para definir reimplementaciones compatibles.</x:v>
      </x:c>
      <x:c r="C4" s="12" t="str">
        <x:v>Analizar arquitectura, API, dependencias y flujos de Placement y Glance.</x:v>
      </x:c>
      <x:c r="D4" s="12" t="str">
        <x:v>Identificar y documentar el 100 % de los endpoints, dependencias y flujos críticos definidos para el alcance.</x:v>
      </x:c>
      <x:c r="E4" s="12" t="str">
        <x:v>El análisis se realiza sobre documentación, código y un entorno OpenStack de pruebas.</x:v>
      </x:c>
      <x:c r="F4" s="12" t="str">
        <x:v>Permite definir una reimplementación compatible con el ecosistema OpenStack.</x:v>
      </x:c>
      <x:c r="G4" s="12" t="str">
        <x:v>Debe completarse antes del 02/10/2026.</x:v>
      </x:c>
      <x:c r="H4" s="12" t="str">
        <x:v>Porcentaje de endpoints, dependencias y flujos críticos de Placement y Glance identificados.</x:v>
      </x:c>
      <x:c r="I4" s="12" t="str">
        <x:v>100 % de los componentes definidos como necesarios para el alcance.</x:v>
      </x:c>
      <x:c r="J4" s="24" t="n">
        <x:v>46297</x:v>
      </x:c>
      <x:c r="K4" s="12" t="str">
        <x:v>En progreso</x:v>
      </x:c>
      <x:c r="L4" s="12" t="str"/>
    </x:row>
    <x:row r="5">
      <x:c r="A5" s="130" t="str">
        <x:v>OE2</x:v>
      </x:c>
      <x:c r="B5" s="12" t="str">
        <x:v>Construir y documentar antes del 2 de octubre de 2026 un entorno OpenStack reproducible de un nodo que permita ejecutar pruebas funcionales y obtener una línea base del servicio original.</x:v>
      </x:c>
      <x:c r="C5" s="12" t="str">
        <x:v>Desplegar OpenStack de un nodo y documentar su reproducción.</x:v>
      </x:c>
      <x:c r="D5" s="12" t="str">
        <x:v>Ejecutar correctamente el 100 % de los smoke tests críticos definidos.</x:v>
      </x:c>
      <x:c r="E5" s="12" t="str">
        <x:v>DevStack permite desplegar un entorno de desarrollo de un nodo con el alcance requerido.</x:v>
      </x:c>
      <x:c r="F5" s="12" t="str">
        <x:v>Entrega la línea base necesaria para comparar la implementación original y la nueva.</x:v>
      </x:c>
      <x:c r="G5" s="12" t="str">
        <x:v>Debe completarse antes del 02/10/2026.</x:v>
      </x:c>
      <x:c r="H5" s="12" t="str">
        <x:v>Porcentaje de pruebas de instalación y smoke tests ejecutados correctamente.</x:v>
      </x:c>
      <x:c r="I5" s="12" t="str">
        <x:v>100 % de las pruebas críticas definidas.</x:v>
      </x:c>
      <x:c r="J5" s="24" t="n">
        <x:v>46297</x:v>
      </x:c>
      <x:c r="K5" s="12" t="str">
        <x:v>En progreso</x:v>
      </x:c>
      <x:c r="L5" s="12" t="str"/>
    </x:row>
    <x:row r="6">
      <x:c r="A6" s="130" t="str">
        <x:v>OE3</x:v>
      </x:c>
      <x:c r="B6" s="12" t="str">
        <x:v>Diseñar e implementar progresivamente versiones compatibles de OpenStack Placement y Glance utilizando Go, cubriendo las funcionalidades priorizadas de ambos servicios según el análisis de requerimientos.</x:v>
      </x:c>
      <x:c r="C6" s="12" t="str">
        <x:v>Reimplementar las funcionalidades priorizadas de Placement y Glance en Go.</x:v>
      </x:c>
      <x:c r="D6" s="12" t="str">
        <x:v>Medir el porcentaje de funcionalidades Must implementadas y aprobadas.</x:v>
      </x:c>
      <x:c r="E6" s="12" t="str">
        <x:v>Se limita el alcance a funcionalidades priorizadas y a un laboratorio de un nodo.</x:v>
      </x:c>
      <x:c r="F6" s="12" t="str">
        <x:v>Constituye la intervención técnica principal del proyecto.</x:v>
      </x:c>
      <x:c r="G6" s="12" t="str">
        <x:v>Las funcionalidades principales deben estar implementadas al 30/10/2026.</x:v>
      </x:c>
      <x:c r="H6" s="12" t="str">
        <x:v>Porcentaje de funcionalidades priorizadas implementadas y aprobadas.</x:v>
      </x:c>
      <x:c r="I6" s="12" t="str">
        <x:v>100 % de funcionalidades Must del alcance definido para Placement y Glance.</x:v>
      </x:c>
      <x:c r="J6" s="24" t="n">
        <x:v>46325</x:v>
      </x:c>
      <x:c r="K6" s="12" t="str">
        <x:v>Pendiente</x:v>
      </x:c>
      <x:c r="L6" s="12" t="str"/>
    </x:row>
    <x:row r="7">
      <x:c r="A7" s="130" t="str">
        <x:v>OE4</x:v>
      </x:c>
      <x:c r="B7" s="12" t="str">
        <x:v>Integrar las reimplementaciones con el entorno OpenStack de prueba y validar su compatibilidad mediante operaciones reales, incluyendo la creación de instancias, gestión de recursos y uso de imágenes.</x:v>
      </x:c>
      <x:c r="C7" s="12" t="str">
        <x:v>Sustituir Placement y Glance e integrarlos con OpenStack para operaciones reales.</x:v>
      </x:c>
      <x:c r="D7" s="12" t="str">
        <x:v>Ejecutar correctamente el 100 % de los casos críticos de integración definidos.</x:v>
      </x:c>
      <x:c r="E7" s="12" t="str">
        <x:v>La validación se realizará en el entorno OpenStack de un nodo del proyecto, con alcance funcional acotado.</x:v>
      </x:c>
      <x:c r="F7" s="12" t="str">
        <x:v>Demuestra que la reimplementación puede sustituir funcionalmente al servicio original en el alcance definido.</x:v>
      </x:c>
      <x:c r="G7" s="12" t="str">
        <x:v>Debe completarse antes del 20/11/2026.</x:v>
      </x:c>
      <x:c r="H7" s="12" t="str">
        <x:v>Porcentaje de casos de integración ejecutados correctamente.</x:v>
      </x:c>
      <x:c r="I7" s="12" t="str">
        <x:v>100 % de los casos críticos.</x:v>
      </x:c>
      <x:c r="J7" s="24" t="n">
        <x:v>46346</x:v>
      </x:c>
      <x:c r="K7" s="12" t="str">
        <x:v>Pendiente</x:v>
      </x:c>
      <x:c r="L7" s="12" t="str"/>
    </x:row>
    <x:row r="8">
      <x:c r="A8" s="130" t="str">
        <x:v>OE5</x:v>
      </x:c>
      <x:c r="B8" s="12" t="str">
        <x:v>Comparar antes del 4 de diciembre de 2026 la implementación original y la reimplementación mediante métricas de rendimiento, consumo de CPU, memoria, latencia y comportamiento funcional.</x:v>
      </x:c>
      <x:c r="C8" s="12" t="str">
        <x:v>Comparar experimentalmente ambas implementaciones con métricas definidas.</x:v>
      </x:c>
      <x:c r="D8" s="12" t="str">
        <x:v>Obtener el 100 % del conjunto de métricas experimentales definido.</x:v>
      </x:c>
      <x:c r="E8" s="12" t="str">
        <x:v>Las métricas se obtendrán en un entorno controlado y reproducible.</x:v>
      </x:c>
      <x:c r="F8" s="12" t="str">
        <x:v>Permite determinar cuantitativamente beneficios, costos y limitaciones de la reimplementación.</x:v>
      </x:c>
      <x:c r="G8" s="12" t="str">
        <x:v>Debe completarse antes del 04/12/2026.</x:v>
      </x:c>
      <x:c r="H8" s="12" t="str">
        <x:v>Porcentaje de métricas comparativas obtenidas.</x:v>
      </x:c>
      <x:c r="I8" s="12" t="str">
        <x:v>100 % del conjunto experimental definido.</x:v>
      </x:c>
      <x:c r="J8" s="24" t="n">
        <x:v>46360</x:v>
      </x:c>
      <x:c r="K8" s="12" t="str">
        <x:v>Pendiente</x:v>
      </x:c>
      <x:c r="L8" s="12" t="str"/>
    </x:row>
    <x:row r="9">
      <x:c r="A9" s="130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>
      <x:c r="A10" s="130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30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>
      <x:c r="A12" s="130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>
      <x:c r="A13" s="130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30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30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30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30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30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30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30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30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30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30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30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30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30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30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30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30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30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30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30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30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30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30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30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30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30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30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30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30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30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30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30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30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30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30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30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30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30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30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30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30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30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30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30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30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30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30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30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30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30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30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30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30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30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30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30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30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30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30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30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30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30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30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30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30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30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30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30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30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30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30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30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30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30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30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30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30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30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30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30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30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30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30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>
      <x:c r="A96" s="130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>
      <x:c r="A97" s="130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>
      <x:c r="A98" s="130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>
      <x:c r="A99" s="130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>
      <x:c r="A100" s="130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>
      <x:c r="A101" s="130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>
      <x:c r="A102" s="130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>
      <x:c r="A103" s="130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>
      <x:c r="A104" s="130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>
      <x:c r="A105" s="130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>
      <x:c r="A106" s="130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>
      <x:c r="A107" s="130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>
      <x:c r="A108" s="130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>
      <x:c r="A109" s="130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>
      <x:c r="A110" s="130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>
      <x:c r="A111" s="130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>
      <x:c r="A112" s="130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>
      <x:c r="A113" s="130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>
      <x:c r="A114" s="130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>
      <x:c r="A115" s="130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>
      <x:c r="A116" s="130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>
      <x:c r="A117" s="130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>
      <x:c r="A118" s="130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>
      <x:c r="A119" s="130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>
      <x:c r="A120" s="130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  <x:row r="121">
      <x:c r="A121" s="130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</x:row>
    <x:row r="122">
      <x:c r="A122" s="130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</x:row>
    <x:row r="123">
      <x:c r="A123" s="130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</x:row>
    <x:row r="124">
      <x:c r="A124" s="130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>
      <x:c r="A125" s="130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</x:row>
    <x:row r="126">
      <x:c r="A126" s="130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</x:row>
    <x:row r="127">
      <x:c r="A127" s="130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</x:row>
    <x:row r="128">
      <x:c r="A128" s="130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</x:row>
    <x:row r="129">
      <x:c r="A129" s="130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</x:row>
    <x:row r="130">
      <x:c r="A130" s="130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</x:row>
    <x:row r="131">
      <x:c r="A131" s="130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</x:row>
    <x:row r="132">
      <x:c r="A132" s="130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</x:row>
    <x:row r="133">
      <x:c r="A133" s="130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</x:row>
    <x:row r="134">
      <x:c r="A134" s="130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</x:row>
    <x:row r="135">
      <x:c r="A135" s="130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</x:row>
    <x:row r="136">
      <x:c r="A136" s="130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>
      <x:c r="A137" s="130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</x:row>
    <x:row r="138">
      <x:c r="A138" s="130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</x:row>
    <x:row r="139">
      <x:c r="A139" s="130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</x:row>
    <x:row r="140">
      <x:c r="A140" s="130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</x:row>
    <x:row r="141">
      <x:c r="A141" s="130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</x:row>
    <x:row r="142">
      <x:c r="A142" s="130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</x:row>
    <x:row r="143">
      <x:c r="A143" s="130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</x:row>
    <x:row r="144">
      <x:c r="A144" s="130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</x:row>
    <x:row r="145">
      <x:c r="A145" s="130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</x:row>
    <x:row r="146">
      <x:c r="A146" s="130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</x:row>
    <x:row r="147">
      <x:c r="A147" s="130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</x:row>
    <x:row r="148">
      <x:c r="A148" s="130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>
      <x:c r="A149" s="130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</x:row>
    <x:row r="150">
      <x:c r="A150" s="130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</x:row>
    <x:row r="151">
      <x:c r="A151" s="130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</x:row>
    <x:row r="152">
      <x:c r="A152" s="130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</x:row>
    <x:row r="153">
      <x:c r="A153" s="130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</x:row>
    <x:row r="154">
      <x:c r="A154" s="130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</x:row>
    <x:row r="155">
      <x:c r="A155" s="130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</x:row>
    <x:row r="156">
      <x:c r="A156" s="130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</x:row>
    <x:row r="157">
      <x:c r="A157" s="130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</x:row>
    <x:row r="158">
      <x:c r="A158" s="130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</x:row>
    <x:row r="159">
      <x:c r="A159" s="130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</x:row>
    <x:row r="160">
      <x:c r="A160" s="130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>
      <x:c r="A161" s="130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</x:row>
    <x:row r="162">
      <x:c r="A162" s="130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</x:row>
    <x:row r="163">
      <x:c r="A163" s="130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</x:row>
    <x:row r="164">
      <x:c r="A164" s="130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</x:row>
    <x:row r="165">
      <x:c r="A165" s="130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</x:row>
    <x:row r="166">
      <x:c r="A166" s="130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</x:row>
    <x:row r="167">
      <x:c r="A167" s="130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</x:row>
    <x:row r="168">
      <x:c r="A168" s="130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</x:row>
    <x:row r="169">
      <x:c r="A169" s="130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</x:row>
    <x:row r="170">
      <x:c r="A170" s="130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</x:row>
    <x:row r="171">
      <x:c r="A171" s="130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</x:row>
    <x:row r="172">
      <x:c r="A172" s="130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>
      <x:c r="A173" s="130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</x:row>
    <x:row r="174">
      <x:c r="A174" s="130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</x:row>
    <x:row r="175">
      <x:c r="A175" s="130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</x:row>
    <x:row r="176">
      <x:c r="A176" s="130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</x:row>
    <x:row r="177">
      <x:c r="A177" s="130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</x:row>
    <x:row r="178">
      <x:c r="A178" s="130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</x:row>
    <x:row r="179">
      <x:c r="A179" s="130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</x:row>
    <x:row r="180">
      <x:c r="A180" s="130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</x:row>
    <x:row r="181">
      <x:c r="A181" s="130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</x:row>
    <x:row r="182">
      <x:c r="A182" s="130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</x:row>
    <x:row r="183">
      <x:c r="A183" s="130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</x:row>
    <x:row r="184">
      <x:c r="A184" s="130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>
      <x:c r="A185" s="130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</x:row>
    <x:row r="186">
      <x:c r="A186" s="130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</x:row>
    <x:row r="187">
      <x:c r="A187" s="130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</x:row>
    <x:row r="188">
      <x:c r="A188" s="130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</x:row>
    <x:row r="189">
      <x:c r="A189" s="130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</x:row>
    <x:row r="190">
      <x:c r="A190" s="130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</x:row>
    <x:row r="191">
      <x:c r="A191" s="130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</x:row>
    <x:row r="192">
      <x:c r="A192" s="130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</x:row>
    <x:row r="193">
      <x:c r="A193" s="130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</x:row>
    <x:row r="194">
      <x:c r="A194" s="130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</x:row>
    <x:row r="195">
      <x:c r="A195" s="130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</x:row>
    <x:row r="196">
      <x:c r="A196" s="130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>
      <x:c r="A197" s="130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</x:row>
    <x:row r="198">
      <x:c r="A198" s="130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</x:row>
    <x:row r="199">
      <x:c r="A199" s="130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</x:row>
    <x:row r="200">
      <x:c r="A200" s="130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</x:row>
  </x:sheetData>
  <x:mergeCells>
    <x:mergeCell ref="A1:L1"/>
  </x:mergeCells>
  <x:conditionalFormatting sqref="K4:K200">
    <x:cfRule type="expression" dxfId="0" priority="1">
      <x:formula>K4="Cumplido"</x:formula>
    </x:cfRule>
    <x:cfRule type="expression" dxfId="1" priority="2">
      <x:formula>K4="En progreso"</x:formula>
    </x:cfRule>
    <x:cfRule type="expression" dxfId="2" priority="3">
      <x:formula>K4="Bloqueado"</x:formula>
    </x:cfRule>
    <x:cfRule type="expression" dxfId="3" priority="4">
      <x:formula>K4="Pendiente"</x:formula>
    </x:cfRule>
  </x:conditionalFormatting>
  <x:dataValidations count="1">
    <x:dataValidation type="list" sqref="K4:K200">
      <x:formula1>Listas!$F$2:$F$5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8055ccc73449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4" hidden="0" customWidth="1"/>
    <x:col min="4" max="4" width="38" hidden="0" customWidth="1"/>
    <x:col min="5" max="5" width="34" hidden="0" customWidth="1"/>
    <x:col min="6" max="6" width="26" hidden="0" customWidth="1"/>
    <x:col min="7" max="7" width="20" hidden="0" customWidth="1"/>
    <x:col min="8" max="8" width="12" hidden="0" customWidth="1"/>
    <x:col min="9" max="9" width="38" hidden="0" customWidth="1"/>
    <x:col min="10" max="10" width="28" hidden="0" customWidth="1"/>
    <x:col min="11" max="11" width="16" hidden="0" customWidth="1"/>
    <x:col min="12" max="12" width="16" hidden="0" customWidth="1"/>
    <x:col min="13" max="13" width="30" hidden="0" customWidth="1"/>
  </x:cols>
  <x:sheetData>
    <x:row r="1" ht="28" customHeight="1">
      <x:c r="A1" s="17" t="str">
        <x:v>Análisis de Requerimientos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</x:row>
    <x:row r="2">
      <x:c r="A2" s="128"/>
    </x:row>
    <x:row r="3">
      <x:c r="A3" s="6" t="str">
        <x:v>ID</x:v>
      </x:c>
      <x:c r="B3" s="6" t="str">
        <x:v>Tipo</x:v>
      </x:c>
      <x:c r="C3" s="6" t="str">
        <x:v>Nombre</x:v>
      </x:c>
      <x:c r="D3" s="6" t="str">
        <x:v>Descripción</x:v>
      </x:c>
      <x:c r="E3" s="6" t="str">
        <x:v>Justificación</x:v>
      </x:c>
      <x:c r="F3" s="6" t="str">
        <x:v>Fuente</x:v>
      </x:c>
      <x:c r="G3" s="6" t="str">
        <x:v>Objetivo relacionado</x:v>
      </x:c>
      <x:c r="H3" s="6" t="str">
        <x:v>Prioridad</x:v>
      </x:c>
      <x:c r="I3" s="6" t="str">
        <x:v>Criterio de aceptación</x:v>
      </x:c>
      <x:c r="J3" s="6" t="str">
        <x:v>Método de verificación</x:v>
      </x:c>
      <x:c r="K3" s="6" t="str">
        <x:v>Estado</x:v>
      </x:c>
      <x:c r="L3" s="6" t="str">
        <x:v>Responsable</x:v>
      </x:c>
      <x:c r="M3" s="6" t="str">
        <x:v>Observaciones</x:v>
      </x:c>
    </x:row>
    <x:row r="4">
      <x:c r="A4" s="130" t="str">
        <x:v>RF01</x:v>
      </x:c>
      <x:c r="B4" s="12" t="str">
        <x:v>Funcional</x:v>
      </x:c>
      <x:c r="C4" s="12" t="str">
        <x:v>Entorno OpenStack reproducible</x:v>
      </x:c>
      <x:c r="D4" s="12" t="str">
        <x:v>Disponer de un entorno OpenStack de un nodo reproducible que permita ejecutar el servicio original y las reimplementaciones.</x:v>
      </x:c>
      <x:c r="E4" s="12" t="str">
        <x:v>Permite disponer de una línea base controlada y repetir las pruebas.</x:v>
      </x:c>
      <x:c r="F4" s="12" t="str">
        <x:v>Propietario del proyecto / diseño experimental</x:v>
      </x:c>
      <x:c r="G4" s="12" t="str">
        <x:v>OE2, OE4</x:v>
      </x:c>
      <x:c r="H4" s="12" t="str">
        <x:v>Must</x:v>
      </x:c>
      <x:c r="I4" s="12" t="str">
        <x:v>OpenStack ejecuta correctamente las operaciones críticas definidas.</x:v>
      </x:c>
      <x:c r="J4" s="12" t="str">
        <x:v>Smoke tests y checklist de instalación.</x:v>
      </x:c>
      <x:c r="K4" s="12" t="str">
        <x:v>Aprobado</x:v>
      </x:c>
      <x:c r="L4" s="12" t="str">
        <x:v>Ambos</x:v>
      </x:c>
      <x:c r="M4" s="12" t="str"/>
    </x:row>
    <x:row r="5">
      <x:c r="A5" s="130" t="str">
        <x:v>RF02</x:v>
      </x:c>
      <x:c r="B5" s="12" t="str">
        <x:v>Funcional</x:v>
      </x:c>
      <x:c r="C5" s="12" t="str">
        <x:v>Compatibilidad de API Placement</x:v>
      </x:c>
      <x:c r="D5" s="12" t="str">
        <x:v>La reimplementación debe soportar las rutas y microversiones de la API de Placement consideradas dentro del alcance.</x:v>
      </x:c>
      <x:c r="E5" s="12" t="str">
        <x:v>La compatibilidad de API es necesaria para sustituir el servicio sin alterar consumidores.</x:v>
      </x:c>
      <x:c r="F5" s="12" t="str">
        <x:v>Documentación oficial OpenStack Placement</x:v>
      </x:c>
      <x:c r="G5" s="12" t="str">
        <x:v>OE1, OE3, OE4</x:v>
      </x:c>
      <x:c r="H5" s="12" t="str">
        <x:v>Must</x:v>
      </x:c>
      <x:c r="I5" s="12" t="str">
        <x:v>Las rutas y microversiones seleccionadas responden de forma compatible con la línea base.</x:v>
      </x:c>
      <x:c r="J5" s="12" t="str">
        <x:v>Suite de pruebas de API.</x:v>
      </x:c>
      <x:c r="K5" s="12" t="str">
        <x:v>Aprobado</x:v>
      </x:c>
      <x:c r="L5" s="12" t="str">
        <x:v>Ambos</x:v>
      </x:c>
      <x:c r="M5" s="12" t="str"/>
    </x:row>
    <x:row r="6">
      <x:c r="A6" s="130" t="str">
        <x:v>RF03</x:v>
      </x:c>
      <x:c r="B6" s="12" t="str">
        <x:v>Funcional</x:v>
      </x:c>
      <x:c r="C6" s="12" t="str">
        <x:v>Resource Providers e Inventories</x:v>
      </x:c>
      <x:c r="D6" s="12" t="str">
        <x:v>Implementar administración de Resource Providers e Inventories requerida por OpenStack.</x:v>
      </x:c>
      <x:c r="E6" s="12" t="str">
        <x:v>Son estructuras centrales para describir proveedores y capacidad de recursos.</x:v>
      </x:c>
      <x:c r="F6" s="12" t="str">
        <x:v>Arquitectura Placement</x:v>
      </x:c>
      <x:c r="G6" s="12" t="str">
        <x:v>OE3, OE4</x:v>
      </x:c>
      <x:c r="H6" s="12" t="str">
        <x:v>Must</x:v>
      </x:c>
      <x:c r="I6" s="12" t="str">
        <x:v>Crear, consultar y modificar proveedores e inventarios en los casos definidos.</x:v>
      </x:c>
      <x:c r="J6" s="12" t="str">
        <x:v>Pruebas funcionales y de integración.</x:v>
      </x:c>
      <x:c r="K6" s="12" t="str">
        <x:v>Aprobado</x:v>
      </x:c>
      <x:c r="L6" s="12" t="str">
        <x:v>Sin asignar</x:v>
      </x:c>
      <x:c r="M6" s="12" t="str"/>
    </x:row>
    <x:row r="7">
      <x:c r="A7" s="130" t="str">
        <x:v>RF04</x:v>
      </x:c>
      <x:c r="B7" s="12" t="str">
        <x:v>Funcional</x:v>
      </x:c>
      <x:c r="C7" s="12" t="str">
        <x:v>Traits y Resource Classes</x:v>
      </x:c>
      <x:c r="D7" s="12" t="str">
        <x:v>Implementar manejo de Traits y Resource Classes necesario para los casos de prueba.</x:v>
      </x:c>
      <x:c r="E7" s="12" t="str">
        <x:v>Placement utiliza estas entidades para describir capacidades y clases de recursos.</x:v>
      </x:c>
      <x:c r="F7" s="12" t="str">
        <x:v>Arquitectura Placement</x:v>
      </x:c>
      <x:c r="G7" s="12" t="str">
        <x:v>OE3, OE4</x:v>
      </x:c>
      <x:c r="H7" s="12" t="str">
        <x:v>Must</x:v>
      </x:c>
      <x:c r="I7" s="12" t="str">
        <x:v>Operaciones priorizadas sobre traits y resource classes funcionan correctamente.</x:v>
      </x:c>
      <x:c r="J7" s="12" t="str">
        <x:v>Pruebas funcionales.</x:v>
      </x:c>
      <x:c r="K7" s="12" t="str">
        <x:v>Aprobado</x:v>
      </x:c>
      <x:c r="L7" s="12" t="str">
        <x:v>Sin asignar</x:v>
      </x:c>
      <x:c r="M7" s="12" t="str"/>
    </x:row>
    <x:row r="8">
      <x:c r="A8" s="130" t="str">
        <x:v>RF05</x:v>
      </x:c>
      <x:c r="B8" s="12" t="str">
        <x:v>Funcional</x:v>
      </x:c>
      <x:c r="C8" s="12" t="str">
        <x:v>Allocations</x:v>
      </x:c>
      <x:c r="D8" s="12" t="str">
        <x:v>Implementar consulta y modificación de allocations manteniendo el comportamiento necesario para la integración.</x:v>
      </x:c>
      <x:c r="E8" s="12" t="str">
        <x:v>Las asignaciones representan el consumo de recursos asociado a consumidores.</x:v>
      </x:c>
      <x:c r="F8" s="12" t="str">
        <x:v>Arquitectura Placement</x:v>
      </x:c>
      <x:c r="G8" s="12" t="str">
        <x:v>OE3, OE4</x:v>
      </x:c>
      <x:c r="H8" s="12" t="str">
        <x:v>Must</x:v>
      </x:c>
      <x:c r="I8" s="12" t="str">
        <x:v>Las allocations pueden crearse, consultarse y modificarse según los casos priorizados.</x:v>
      </x:c>
      <x:c r="J8" s="12" t="str">
        <x:v>Pruebas funcionales e integración con Nova.</x:v>
      </x:c>
      <x:c r="K8" s="12" t="str">
        <x:v>Aprobado</x:v>
      </x:c>
      <x:c r="L8" s="12" t="str">
        <x:v>Sin asignar</x:v>
      </x:c>
      <x:c r="M8" s="12" t="str"/>
    </x:row>
    <x:row r="9">
      <x:c r="A9" s="130" t="str">
        <x:v>RF06</x:v>
      </x:c>
      <x:c r="B9" s="12" t="str">
        <x:v>Funcional</x:v>
      </x:c>
      <x:c r="C9" s="12" t="str">
        <x:v>Allocation Candidates</x:v>
      </x:c>
      <x:c r="D9" s="12" t="str">
        <x:v>Implementar el mecanismo necesario para responder consultas de Allocation Candidates dentro del alcance definido.</x:v>
      </x:c>
      <x:c r="E9" s="12" t="str">
        <x:v>Nova Scheduler depende de esta capacidad para obtener alternativas válidas de recursos.</x:v>
      </x:c>
      <x:c r="F9" s="12" t="str">
        <x:v>Integración Nova - Placement</x:v>
      </x:c>
      <x:c r="G9" s="12" t="str">
        <x:v>OE3, OE4</x:v>
      </x:c>
      <x:c r="H9" s="12" t="str">
        <x:v>Must</x:v>
      </x:c>
      <x:c r="I9" s="12" t="str">
        <x:v>Las consultas seleccionadas retornan candidatos compatibles con la línea base.</x:v>
      </x:c>
      <x:c r="J9" s="12" t="str">
        <x:v>Comparación de respuestas y pruebas de integración.</x:v>
      </x:c>
      <x:c r="K9" s="12" t="str">
        <x:v>Aprobado</x:v>
      </x:c>
      <x:c r="L9" s="12" t="str">
        <x:v>Sin asignar</x:v>
      </x:c>
      <x:c r="M9" s="12" t="str"/>
    </x:row>
    <x:row r="10">
      <x:c r="A10" s="130" t="str">
        <x:v>RF07</x:v>
      </x:c>
      <x:c r="B10" s="12" t="str">
        <x:v>Funcional</x:v>
      </x:c>
      <x:c r="C10" s="12" t="str">
        <x:v>Persistencia</x:v>
      </x:c>
      <x:c r="D10" s="12" t="str">
        <x:v>La reimplementación debe almacenar de forma consistente la información requerida por el servicio.</x:v>
      </x:c>
      <x:c r="E10" s="12" t="str">
        <x:v>Placement necesita conservar proveedores, inventarios, allocations y metadatos relacionados.</x:v>
      </x:c>
      <x:c r="F10" s="12" t="str">
        <x:v>Diseño de la solución</x:v>
      </x:c>
      <x:c r="G10" s="12" t="str">
        <x:v>OE3, OE4</x:v>
      </x:c>
      <x:c r="H10" s="12" t="str">
        <x:v>Must</x:v>
      </x:c>
      <x:c r="I10" s="12" t="str">
        <x:v>Los datos persisten correctamente entre operaciones y reinicios según el alcance.</x:v>
      </x:c>
      <x:c r="J10" s="12" t="str">
        <x:v>Pruebas de persistencia.</x:v>
      </x:c>
      <x:c r="K10" s="12" t="str">
        <x:v>Propuesto</x:v>
      </x:c>
      <x:c r="L10" s="12" t="str">
        <x:v>Sin asignar</x:v>
      </x:c>
      <x:c r="M10" s="12" t="str"/>
    </x:row>
    <x:row r="11">
      <x:c r="A11" s="130" t="str">
        <x:v>RF08</x:v>
      </x:c>
      <x:c r="B11" s="12" t="str">
        <x:v>Funcional</x:v>
      </x:c>
      <x:c r="C11" s="12" t="str">
        <x:v>Autenticación</x:v>
      </x:c>
      <x:c r="D11" s="12" t="str">
        <x:v>Integrar los mecanismos de autenticación requeridos por OpenStack para acceder al servicio.</x:v>
      </x:c>
      <x:c r="E11" s="12" t="str">
        <x:v>La sustitución debe mantener los controles necesarios para interactuar con el ecosistema.</x:v>
      </x:c>
      <x:c r="F11" s="12" t="str">
        <x:v>Arquitectura OpenStack</x:v>
      </x:c>
      <x:c r="G11" s="12" t="str">
        <x:v>OE3, OE4</x:v>
      </x:c>
      <x:c r="H11" s="12" t="str">
        <x:v>Must</x:v>
      </x:c>
      <x:c r="I11" s="12" t="str">
        <x:v>Las solicitudes autorizadas funcionan y las no autorizadas se rechazan según el alcance.</x:v>
      </x:c>
      <x:c r="J11" s="12" t="str">
        <x:v>Pruebas de autenticación.</x:v>
      </x:c>
      <x:c r="K11" s="12" t="str">
        <x:v>Propuesto</x:v>
      </x:c>
      <x:c r="L11" s="12" t="str">
        <x:v>Sin asignar</x:v>
      </x:c>
      <x:c r="M11" s="12" t="str"/>
    </x:row>
    <x:row r="12">
      <x:c r="A12" s="130" t="str">
        <x:v>RF09</x:v>
      </x:c>
      <x:c r="B12" s="12" t="str">
        <x:v>Funcional</x:v>
      </x:c>
      <x:c r="C12" s="12" t="str">
        <x:v>Sustitución del servicio original</x:v>
      </x:c>
      <x:c r="D12" s="12" t="str">
        <x:v>Debe ser posible reemplazar el servicio original dentro del entorno experimental sin modificar de manera significativa los demás servicios de OpenStack.</x:v>
      </x:c>
      <x:c r="E12" s="12" t="str">
        <x:v>Es el criterio central para demostrar compatibilidad real.</x:v>
      </x:c>
      <x:c r="F12" s="12" t="str">
        <x:v>Objetivo del proyecto</x:v>
      </x:c>
      <x:c r="G12" s="12" t="str">
        <x:v>OE4</x:v>
      </x:c>
      <x:c r="H12" s="12" t="str">
        <x:v>Must</x:v>
      </x:c>
      <x:c r="I12" s="12" t="str">
        <x:v>Nova utiliza la reimplementación de Placement y permite ejecutar las operaciones críticas definidas.</x:v>
      </x:c>
      <x:c r="J12" s="12" t="str">
        <x:v>Prueba de sustitución y creación de instancia.</x:v>
      </x:c>
      <x:c r="K12" s="12" t="str">
        <x:v>Propuesto</x:v>
      </x:c>
      <x:c r="L12" s="12" t="str">
        <x:v>Ambos</x:v>
      </x:c>
      <x:c r="M12" s="12" t="str"/>
    </x:row>
    <x:row r="13">
      <x:c r="A13" s="130" t="str">
        <x:v>RF10</x:v>
      </x:c>
      <x:c r="B13" s="12" t="str">
        <x:v>Funcional</x:v>
      </x:c>
      <x:c r="C13" s="12" t="str">
        <x:v>Glance Image Service</x:v>
      </x:c>
      <x:c r="D13" s="12" t="str">
        <x:v>Reimplementar un alcance acotado de OpenStack Glance, centrado en la API de imágenes necesaria para registrar, listar, consultar, actualizar y eliminar metadatos de imágenes, transferir datos de imagen y permitir su consumo por Nova en los casos definidos.</x:v>
      </x:c>
      <x:c r="E13" s="12" t="str">
        <x:v>Glance es el segundo servicio confirmado del proyecto y permite evaluar un componente HTTP con persistencia de metadatos y transferencia de datos binarios, complementando el análisis de Placement.</x:v>
      </x:c>
      <x:c r="F13" s="12" t="str">
        <x:v>Alcance definido del proyecto / OpenStack Glance</x:v>
      </x:c>
      <x:c r="G13" s="12" t="str">
        <x:v>OE1, OE3, OE4</x:v>
      </x:c>
      <x:c r="H13" s="12" t="str">
        <x:v>Must</x:v>
      </x:c>
      <x:c r="I13" s="12" t="str">
        <x:v>La reimplementación permite gestionar el ciclo mínimo de una imagen y Nova puede crear una instancia usando una imagen servida por el Glance reimplementado.</x:v>
      </x:c>
      <x:c r="J13" s="12" t="str">
        <x:v>Pruebas diferenciales de API, carga/descarga de imagen y prueba end-to-end de creación de instancia.</x:v>
      </x:c>
      <x:c r="K13" s="12" t="str">
        <x:v>Aprobado</x:v>
      </x:c>
      <x:c r="L13" s="12" t="str">
        <x:v>Ambos</x:v>
      </x:c>
      <x:c r="M13" s="12" t="str">
        <x:v>Alcance acotado al subconjunto de Image API necesario para el laboratorio; no se busca cubrir todos los backends ni extensiones opcionales.</x:v>
      </x:c>
    </x:row>
    <x:row r="14">
      <x:c r="A14" s="130" t="str">
        <x:v>RF11</x:v>
      </x:c>
      <x:c r="B14" s="12" t="str">
        <x:v>Funcional</x:v>
      </x:c>
      <x:c r="C14" s="12" t="str">
        <x:v>Observabilidad</x:v>
      </x:c>
      <x:c r="D14" s="12" t="str">
        <x:v>Los nuevos servicios deberán proporcionar mecanismos suficientes de logging y medición para pruebas y diagnóstico.</x:v>
      </x:c>
      <x:c r="E14" s="12" t="str">
        <x:v>Se requieren datos para depurar la integración y comparar comportamiento.</x:v>
      </x:c>
      <x:c r="F14" s="12" t="str">
        <x:v>Buenas prácticas de operación</x:v>
      </x:c>
      <x:c r="G14" s="12" t="str">
        <x:v>OE4, OE5</x:v>
      </x:c>
      <x:c r="H14" s="12" t="str">
        <x:v>Should</x:v>
      </x:c>
      <x:c r="I14" s="12" t="str">
        <x:v>Los eventos relevantes y métricas necesarias pueden obtenerse durante las pruebas.</x:v>
      </x:c>
      <x:c r="J14" s="12" t="str">
        <x:v>Revisión de logs y métricas.</x:v>
      </x:c>
      <x:c r="K14" s="12" t="str">
        <x:v>Propuesto</x:v>
      </x:c>
      <x:c r="L14" s="12" t="str">
        <x:v>Sin asignar</x:v>
      </x:c>
      <x:c r="M14" s="12" t="str"/>
    </x:row>
    <x:row r="15">
      <x:c r="A15" s="130" t="str">
        <x:v>RF12</x:v>
      </x:c>
      <x:c r="B15" s="12" t="str">
        <x:v>Funcional</x:v>
      </x:c>
      <x:c r="C15" s="12" t="str">
        <x:v>Automatización de pruebas</x:v>
      </x:c>
      <x:c r="D15" s="12" t="str">
        <x:v>Debe existir una forma reproducible de ejecutar pruebas funcionales y de integración.</x:v>
      </x:c>
      <x:c r="E15" s="12" t="str">
        <x:v>La automatización reduce variabilidad y facilita validar regresiones.</x:v>
      </x:c>
      <x:c r="F15" s="12" t="str">
        <x:v>Metodología experimental</x:v>
      </x:c>
      <x:c r="G15" s="12" t="str">
        <x:v>OE4, OE5</x:v>
      </x:c>
      <x:c r="H15" s="12" t="str">
        <x:v>Must</x:v>
      </x:c>
      <x:c r="I15" s="12" t="str">
        <x:v>La suite puede ejecutarse repetidamente y reportar resultados comparables.</x:v>
      </x:c>
      <x:c r="J15" s="12" t="str">
        <x:v>Ejecución de suite automatizada.</x:v>
      </x:c>
      <x:c r="K15" s="12" t="str">
        <x:v>Propuesto</x:v>
      </x:c>
      <x:c r="L15" s="12" t="str">
        <x:v>Sin asignar</x:v>
      </x:c>
      <x:c r="M15" s="12" t="str"/>
    </x:row>
    <x:row r="16">
      <x:c r="A16" s="130" t="str">
        <x:v>RNF01</x:v>
      </x:c>
      <x:c r="B16" s="12" t="str">
        <x:v>No funcional</x:v>
      </x:c>
      <x:c r="C16" s="12" t="str">
        <x:v>Compatibilidad</x:v>
      </x:c>
      <x:c r="D16" s="12" t="str">
        <x:v>La solución debe mantener compatibilidad funcional con los flujos OpenStack considerados en el alcance.</x:v>
      </x:c>
      <x:c r="E16" s="12" t="str">
        <x:v>La reimplementación solo es útil si los consumidores pueden utilizarla sin cambios sustanciales.</x:v>
      </x:c>
      <x:c r="F16" s="12" t="str">
        <x:v>Objetivo del proyecto</x:v>
      </x:c>
      <x:c r="G16" s="12" t="str">
        <x:v>OE3, OE4</x:v>
      </x:c>
      <x:c r="H16" s="12" t="str">
        <x:v>Must</x:v>
      </x:c>
      <x:c r="I16" s="12" t="str">
        <x:v>Todos los casos críticos seleccionados mantienen comportamiento compatible.</x:v>
      </x:c>
      <x:c r="J16" s="12" t="str">
        <x:v>Pruebas comparativas.</x:v>
      </x:c>
      <x:c r="K16" s="12" t="str">
        <x:v>Aprobado</x:v>
      </x:c>
      <x:c r="L16" s="12" t="str">
        <x:v>Ambos</x:v>
      </x:c>
      <x:c r="M16" s="12" t="str"/>
    </x:row>
    <x:row r="17">
      <x:c r="A17" s="130" t="str">
        <x:v>RNF02</x:v>
      </x:c>
      <x:c r="B17" s="12" t="str">
        <x:v>No funcional</x:v>
      </x:c>
      <x:c r="C17" s="12" t="str">
        <x:v>Rendimiento</x:v>
      </x:c>
      <x:c r="D17" s="12" t="str">
        <x:v>Debe ser posible medir y comparar latencia y throughput entre ambas implementaciones.</x:v>
      </x:c>
      <x:c r="E17" s="12" t="str">
        <x:v>Permite evaluar experimentalmente la hipótesis de mejora.</x:v>
      </x:c>
      <x:c r="F17" s="12" t="str">
        <x:v>Objetivo del proyecto</x:v>
      </x:c>
      <x:c r="G17" s="12" t="str">
        <x:v>OE5</x:v>
      </x:c>
      <x:c r="H17" s="12" t="str">
        <x:v>Must</x:v>
      </x:c>
      <x:c r="I17" s="12" t="str">
        <x:v>Se obtienen mediciones repetibles de latencia y throughput para ambas versiones.</x:v>
      </x:c>
      <x:c r="J17" s="12" t="str">
        <x:v>Benchmark controlado.</x:v>
      </x:c>
      <x:c r="K17" s="12" t="str">
        <x:v>Aprobado</x:v>
      </x:c>
      <x:c r="L17" s="12" t="str">
        <x:v>Ambos</x:v>
      </x:c>
      <x:c r="M17" s="12" t="str"/>
    </x:row>
    <x:row r="18">
      <x:c r="A18" s="130" t="str">
        <x:v>RNF03</x:v>
      </x:c>
      <x:c r="B18" s="12" t="str">
        <x:v>No funcional</x:v>
      </x:c>
      <x:c r="C18" s="12" t="str">
        <x:v>Uso de recursos</x:v>
      </x:c>
      <x:c r="D18" s="12" t="str">
        <x:v>Se deberá medir consumo de CPU y memoria.</x:v>
      </x:c>
      <x:c r="E18" s="12" t="str">
        <x:v>El proyecto busca comparar el costo operacional de ambas implementaciones.</x:v>
      </x:c>
      <x:c r="F18" s="12" t="str">
        <x:v>Objetivo del proyecto</x:v>
      </x:c>
      <x:c r="G18" s="12" t="str">
        <x:v>OE5</x:v>
      </x:c>
      <x:c r="H18" s="12" t="str">
        <x:v>Must</x:v>
      </x:c>
      <x:c r="I18" s="12" t="str">
        <x:v>Se obtienen métricas comparables de CPU y RAM bajo cargas definidas.</x:v>
      </x:c>
      <x:c r="J18" s="12" t="str">
        <x:v>Monitoreo durante benchmark.</x:v>
      </x:c>
      <x:c r="K18" s="12" t="str">
        <x:v>Aprobado</x:v>
      </x:c>
      <x:c r="L18" s="12" t="str">
        <x:v>Ambos</x:v>
      </x:c>
      <x:c r="M18" s="12" t="str"/>
    </x:row>
    <x:row r="19">
      <x:c r="A19" s="130" t="str">
        <x:v>RNF04</x:v>
      </x:c>
      <x:c r="B19" s="12" t="str">
        <x:v>No funcional</x:v>
      </x:c>
      <x:c r="C19" s="12" t="str">
        <x:v>Fiabilidad</x:v>
      </x:c>
      <x:c r="D19" s="12" t="str">
        <x:v>Las operaciones funcionales críticas deben ejecutarse de forma consistente durante las pruebas.</x:v>
      </x:c>
      <x:c r="E19" s="12" t="str">
        <x:v>La mejora de rendimiento no puede comprometer la estabilidad funcional.</x:v>
      </x:c>
      <x:c r="F19" s="12" t="str">
        <x:v>Calidad de software</x:v>
      </x:c>
      <x:c r="G19" s="12" t="str">
        <x:v>OE4, OE5</x:v>
      </x:c>
      <x:c r="H19" s="12" t="str">
        <x:v>Must</x:v>
      </x:c>
      <x:c r="I19" s="12" t="str">
        <x:v>Las pruebas críticas se ejecutan repetidamente sin fallos inesperados dentro de los criterios definidos.</x:v>
      </x:c>
      <x:c r="J19" s="12" t="str">
        <x:v>Ejecuciones repetidas y registro de fallos.</x:v>
      </x:c>
      <x:c r="K19" s="12" t="str">
        <x:v>Propuesto</x:v>
      </x:c>
      <x:c r="L19" s="12" t="str">
        <x:v>Sin asignar</x:v>
      </x:c>
      <x:c r="M19" s="12" t="str"/>
    </x:row>
    <x:row r="20">
      <x:c r="A20" s="130" t="str">
        <x:v>RNF05</x:v>
      </x:c>
      <x:c r="B20" s="12" t="str">
        <x:v>No funcional</x:v>
      </x:c>
      <x:c r="C20" s="12" t="str">
        <x:v>Reproducibilidad</x:v>
      </x:c>
      <x:c r="D20" s="12" t="str">
        <x:v>El entorno, compilación, despliegue y pruebas deben estar documentados y ser reproducibles.</x:v>
      </x:c>
      <x:c r="E20" s="12" t="str">
        <x:v>El trabajo académico debe poder ser verificado y repetido.</x:v>
      </x:c>
      <x:c r="F20" s="12" t="str">
        <x:v>Rúbrica / metodología</x:v>
      </x:c>
      <x:c r="G20" s="12" t="str">
        <x:v>OE2, OE5</x:v>
      </x:c>
      <x:c r="H20" s="12" t="str">
        <x:v>Must</x:v>
      </x:c>
      <x:c r="I20" s="12" t="str">
        <x:v>Un tercero puede reconstruir el entorno siguiendo la documentación y scripts.</x:v>
      </x:c>
      <x:c r="J20" s="12" t="str">
        <x:v>Checklist de reproducción.</x:v>
      </x:c>
      <x:c r="K20" s="12" t="str">
        <x:v>Aprobado</x:v>
      </x:c>
      <x:c r="L20" s="12" t="str">
        <x:v>Ambos</x:v>
      </x:c>
      <x:c r="M20" s="12" t="str"/>
    </x:row>
    <x:row r="21">
      <x:c r="A21" s="130" t="str">
        <x:v>RNF06</x:v>
      </x:c>
      <x:c r="B21" s="12" t="str">
        <x:v>No funcional</x:v>
      </x:c>
      <x:c r="C21" s="12" t="str">
        <x:v>Mantenibilidad</x:v>
      </x:c>
      <x:c r="D21" s="12" t="str">
        <x:v>El código debe tener una estructura modular, documentación y pruebas.</x:v>
      </x:c>
      <x:c r="E21" s="12" t="str">
        <x:v>Facilita evolución, revisión y comprensión del proyecto.</x:v>
      </x:c>
      <x:c r="F21" s="12" t="str">
        <x:v>Buenas prácticas de ingeniería</x:v>
      </x:c>
      <x:c r="G21" s="12" t="str">
        <x:v>OE3</x:v>
      </x:c>
      <x:c r="H21" s="12" t="str">
        <x:v>Should</x:v>
      </x:c>
      <x:c r="I21" s="12" t="str">
        <x:v>El repositorio presenta módulos claros, documentación y pruebas del alcance implementado.</x:v>
      </x:c>
      <x:c r="J21" s="12" t="str">
        <x:v>Revisión de código y repositorio.</x:v>
      </x:c>
      <x:c r="K21" s="12" t="str">
        <x:v>Propuesto</x:v>
      </x:c>
      <x:c r="L21" s="12" t="str">
        <x:v>Sin asignar</x:v>
      </x:c>
      <x:c r="M21" s="12" t="str"/>
    </x:row>
    <x:row r="22">
      <x:c r="A22" s="130" t="str">
        <x:v>RNF07</x:v>
      </x:c>
      <x:c r="B22" s="12" t="str">
        <x:v>No funcional</x:v>
      </x:c>
      <x:c r="C22" s="12" t="str">
        <x:v>Seguridad</x:v>
      </x:c>
      <x:c r="D22" s="12" t="str">
        <x:v>Las pruebas y reimplementaciones no deberán eliminar los mecanismos de autenticación requeridos para la integración.</x:v>
      </x:c>
      <x:c r="E22" s="12" t="str">
        <x:v>La sustitución debe conservar controles relevantes del sistema.</x:v>
      </x:c>
      <x:c r="F22" s="12" t="str">
        <x:v>Arquitectura OpenStack</x:v>
      </x:c>
      <x:c r="G22" s="12" t="str">
        <x:v>OE3, OE4</x:v>
      </x:c>
      <x:c r="H22" s="12" t="str">
        <x:v>Must</x:v>
      </x:c>
      <x:c r="I22" s="12" t="str">
        <x:v>Los mecanismos de autenticación definidos funcionan durante integración y pruebas.</x:v>
      </x:c>
      <x:c r="J22" s="12" t="str">
        <x:v>Pruebas positivas y negativas.</x:v>
      </x:c>
      <x:c r="K22" s="12" t="str">
        <x:v>Propuesto</x:v>
      </x:c>
      <x:c r="L22" s="12" t="str">
        <x:v>Sin asignar</x:v>
      </x:c>
      <x:c r="M22" s="12" t="str"/>
    </x:row>
    <x:row r="23">
      <x:c r="A23" s="130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>
      <x:c r="A24" s="130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>
      <x:c r="A25" s="130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>
      <x:c r="A26" s="130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>
      <x:c r="A27" s="130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>
      <x:c r="A28" s="130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>
      <x:c r="A29" s="130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>
      <x:c r="A30" s="130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>
      <x:c r="A31" s="130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>
      <x:c r="A32" s="130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>
      <x:c r="A33" s="130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>
      <x:c r="A34" s="130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>
      <x:c r="A35" s="130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>
      <x:c r="A36" s="130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>
      <x:c r="A37" s="130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>
      <x:c r="A38" s="130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>
      <x:c r="A39" s="130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>
      <x:c r="A40" s="130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>
      <x:c r="A41" s="130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>
      <x:c r="A42" s="130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>
      <x:c r="A43" s="130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>
      <x:c r="A44" s="130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>
      <x:c r="A45" s="130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>
      <x:c r="A46" s="130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>
      <x:c r="A47" s="130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>
      <x:c r="A48" s="130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>
      <x:c r="A49" s="130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>
      <x:c r="A50" s="130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>
      <x:c r="A51" s="130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>
      <x:c r="A52" s="130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>
      <x:c r="A53" s="130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>
      <x:c r="A54" s="130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>
      <x:c r="A55" s="130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>
      <x:c r="A56" s="130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>
      <x:c r="A57" s="130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>
      <x:c r="A58" s="130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>
      <x:c r="A59" s="130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>
      <x:c r="A60" s="130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>
      <x:c r="A61" s="130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>
      <x:c r="A62" s="130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>
      <x:c r="A63" s="130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>
      <x:c r="A64" s="130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>
      <x:c r="A65" s="130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>
      <x:c r="A66" s="130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>
      <x:c r="A67" s="130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>
      <x:c r="A68" s="130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>
      <x:c r="A69" s="130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>
      <x:c r="A70" s="130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>
      <x:c r="A71" s="130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>
      <x:c r="A72" s="130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>
      <x:c r="A73" s="130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>
      <x:c r="A74" s="130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>
      <x:c r="A75" s="130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>
      <x:c r="A76" s="130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>
      <x:c r="A77" s="130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>
      <x:c r="A78" s="130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>
      <x:c r="A79" s="130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>
      <x:c r="A80" s="130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>
      <x:c r="A81" s="130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>
      <x:c r="A82" s="130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>
      <x:c r="A83" s="130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>
      <x:c r="A84" s="130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>
      <x:c r="A85" s="130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>
      <x:c r="A86" s="130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>
      <x:c r="A87" s="130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>
      <x:c r="A88" s="130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>
      <x:c r="A89" s="130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>
      <x:c r="A90" s="130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>
      <x:c r="A91" s="130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>
      <x:c r="A92" s="130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>
      <x:c r="A93" s="130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>
      <x:c r="A94" s="130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>
      <x:c r="A95" s="130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>
      <x:c r="A96" s="130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>
      <x:c r="A97" s="130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>
      <x:c r="A98" s="130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>
      <x:c r="A99" s="130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>
      <x:c r="A100" s="130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>
      <x:c r="A101" s="130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>
      <x:c r="A102" s="130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>
      <x:c r="A103" s="130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>
      <x:c r="A104" s="130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>
      <x:c r="A105" s="130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>
      <x:c r="A106" s="130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>
      <x:c r="A107" s="130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>
      <x:c r="A108" s="130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>
      <x:c r="A109" s="130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>
      <x:c r="A110" s="130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>
      <x:c r="A111" s="130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>
      <x:c r="A112" s="130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>
      <x:c r="A113" s="130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>
      <x:c r="A114" s="130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>
      <x:c r="A115" s="130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>
      <x:c r="A116" s="130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>
      <x:c r="A117" s="130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>
      <x:c r="A118" s="130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>
      <x:c r="A119" s="130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>
      <x:c r="A120" s="130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>
      <x:c r="A121" s="130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>
      <x:c r="A122" s="130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>
      <x:c r="A123" s="130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>
      <x:c r="A124" s="130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>
      <x:c r="A125" s="130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>
      <x:c r="A126" s="130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>
      <x:c r="A127" s="130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>
      <x:c r="A128" s="130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>
      <x:c r="A129" s="130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>
      <x:c r="A130" s="130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>
      <x:c r="A131" s="130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>
      <x:c r="A132" s="130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>
      <x:c r="A133" s="130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>
      <x:c r="A134" s="130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>
      <x:c r="A135" s="130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>
      <x:c r="A136" s="130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>
      <x:c r="A137" s="130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>
      <x:c r="A138" s="130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>
      <x:c r="A139" s="130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>
      <x:c r="A140" s="130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>
      <x:c r="A141" s="130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>
      <x:c r="A142" s="130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>
      <x:c r="A143" s="130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>
      <x:c r="A144" s="130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>
      <x:c r="A145" s="130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>
      <x:c r="A146" s="130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>
      <x:c r="A147" s="130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>
      <x:c r="A148" s="130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>
      <x:c r="A149" s="130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>
      <x:c r="A150" s="130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>
      <x:c r="A151" s="130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>
      <x:c r="A152" s="130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>
      <x:c r="A153" s="130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>
      <x:c r="A154" s="130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>
      <x:c r="A155" s="130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>
      <x:c r="A156" s="130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>
      <x:c r="A157" s="130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>
      <x:c r="A158" s="130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>
      <x:c r="A159" s="130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>
      <x:c r="A160" s="130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>
      <x:c r="A161" s="130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>
      <x:c r="A162" s="130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>
      <x:c r="A163" s="130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>
      <x:c r="A164" s="130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>
      <x:c r="A165" s="130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>
      <x:c r="A166" s="130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>
      <x:c r="A167" s="130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>
      <x:c r="A168" s="130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>
      <x:c r="A169" s="130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>
      <x:c r="A170" s="130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>
      <x:c r="A171" s="130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>
      <x:c r="A172" s="130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>
      <x:c r="A173" s="130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>
      <x:c r="A174" s="130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>
      <x:c r="A175" s="130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>
      <x:c r="A176" s="130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>
      <x:c r="A177" s="130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>
      <x:c r="A178" s="130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>
      <x:c r="A179" s="130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>
      <x:c r="A180" s="130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>
      <x:c r="A181" s="130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>
      <x:c r="A182" s="130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>
      <x:c r="A183" s="130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>
      <x:c r="A184" s="130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>
      <x:c r="A185" s="130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>
      <x:c r="A186" s="130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>
      <x:c r="A187" s="130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>
      <x:c r="A188" s="130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>
      <x:c r="A189" s="130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>
      <x:c r="A190" s="130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>
      <x:c r="A191" s="130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>
      <x:c r="A192" s="130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>
      <x:c r="A193" s="130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>
      <x:c r="A194" s="130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>
      <x:c r="A195" s="130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>
      <x:c r="A196" s="130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>
      <x:c r="A197" s="130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>
      <x:c r="A198" s="130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>
      <x:c r="A199" s="130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>
      <x:c r="A200" s="130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</x:sheetData>
  <x:mergeCells>
    <x:mergeCell ref="A1:M1"/>
  </x:mergeCells>
  <x:conditionalFormatting sqref="K4:K200">
    <x:cfRule type="expression" dxfId="4" priority="1">
      <x:formula>K4="Validado"</x:formula>
    </x:cfRule>
    <x:cfRule type="expression" dxfId="5" priority="2">
      <x:formula>K4="En desarrollo"</x:formula>
    </x:cfRule>
    <x:cfRule type="expression" dxfId="6" priority="3">
      <x:formula>K4="Descartado"</x:formula>
    </x:cfRule>
    <x:cfRule type="expression" dxfId="7" priority="4">
      <x:formula>K4="Propuesto"</x:formula>
    </x:cfRule>
  </x:conditionalFormatting>
  <x:dataValidations count="4">
    <x:dataValidation type="list" sqref="B4:B200">
      <x:formula1>"Funcional,No funcional"</x:formula1>
    </x:dataValidation>
    <x:dataValidation type="list" sqref="H4:H200">
      <x:formula1>Listas!$B$2:$B$5</x:formula1>
    </x:dataValidation>
    <x:dataValidation type="list" sqref="K4:K200">
      <x:formula1>Listas!$E$2:$E$7</x:formula1>
    </x:dataValidation>
    <x:dataValidation type="list" sqref="L4:L200">
      <x:formula1>Listas!$C$2:$C$5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1a6401d75e44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3" hidden="0" customWidth="1"/>
    <x:col min="4" max="4" width="38" hidden="0" customWidth="1"/>
    <x:col min="5" max="5" width="14" hidden="0" customWidth="1"/>
    <x:col min="6" max="6" width="18" hidden="0" customWidth="1"/>
    <x:col min="7" max="7" width="12" hidden="0" customWidth="1"/>
    <x:col min="8" max="8" width="42" hidden="0" customWidth="1"/>
    <x:col min="9" max="9" width="12" hidden="0" customWidth="1"/>
    <x:col min="10" max="10" width="15" hidden="0" customWidth="1"/>
    <x:col min="11" max="11" width="10" hidden="0" customWidth="1"/>
    <x:col min="12" max="12" width="14" hidden="0" customWidth="1"/>
    <x:col min="13" max="13" width="18" hidden="0" customWidth="1"/>
    <x:col min="14" max="14" width="13" hidden="0" customWidth="1"/>
    <x:col min="15" max="15" width="13" hidden="0" customWidth="1"/>
    <x:col min="16" max="16" width="26" hidden="0" customWidth="1"/>
    <x:col min="17" max="17" width="28" hidden="0" customWidth="1"/>
  </x:cols>
  <x:sheetData>
    <x:row r="1" ht="28" customHeight="1">
      <x:c r="A1" s="17" t="str">
        <x:v>Backlog del Proyecto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</x:row>
    <x:row r="2">
      <x:c r="A2" s="128"/>
    </x:row>
    <x:row r="3">
      <x:c r="A3" s="6" t="str">
        <x:v>ID</x:v>
      </x:c>
      <x:c r="B3" s="6" t="str">
        <x:v>Épica</x:v>
      </x:c>
      <x:c r="C3" s="6" t="str">
        <x:v>Tipo</x:v>
      </x:c>
      <x:c r="D3" s="6" t="str">
        <x:v>Descripción</x:v>
      </x:c>
      <x:c r="E3" s="6" t="str">
        <x:v>Objetivo</x:v>
      </x:c>
      <x:c r="F3" s="6" t="str">
        <x:v>Requerimiento</x:v>
      </x:c>
      <x:c r="G3" s="6" t="str">
        <x:v>Prioridad</x:v>
      </x:c>
      <x:c r="H3" s="6" t="str">
        <x:v>Criterio de aceptación</x:v>
      </x:c>
      <x:c r="I3" s="6" t="str">
        <x:v>Story Points</x:v>
      </x:c>
      <x:c r="J3" s="6" t="str">
        <x:v>Responsable</x:v>
      </x:c>
      <x:c r="K3" s="6" t="str">
        <x:v>Sprint</x:v>
      </x:c>
      <x:c r="L3" s="6" t="str">
        <x:v>Estado</x:v>
      </x:c>
      <x:c r="M3" s="6" t="str">
        <x:v>Dependencia</x:v>
      </x:c>
      <x:c r="N3" s="6" t="str">
        <x:v>Fecha inicio</x:v>
      </x:c>
      <x:c r="O3" s="6" t="str">
        <x:v>Fecha límite</x:v>
      </x:c>
      <x:c r="P3" s="6" t="str">
        <x:v>Evidencia</x:v>
      </x:c>
      <x:c r="Q3" s="6" t="str">
        <x:v>Observaciones</x:v>
      </x:c>
    </x:row>
    <x:row r="4">
      <x:c r="A4" s="130" t="str">
        <x:v>B01</x:v>
      </x:c>
      <x:c r="B4" s="12" t="str">
        <x:v>E1: Infraestructura y entorno</x:v>
      </x:c>
      <x:c r="C4" s="12" t="str">
        <x:v>Tarea</x:v>
      </x:c>
      <x:c r="D4" s="12" t="str">
        <x:v>Preparar servidor o máquina virtual para laboratorio</x:v>
      </x:c>
      <x:c r="E4" s="12" t="str">
        <x:v>OE2</x:v>
      </x:c>
      <x:c r="F4" s="12" t="str">
        <x:v>RF01</x:v>
      </x:c>
      <x:c r="G4" s="12" t="str">
        <x:v>Must</x:v>
      </x:c>
      <x:c r="H4" s="12" t="str">
        <x:v>Servidor o VM disponible y documentado para el despliegue.</x:v>
      </x:c>
      <x:c r="I4" s="12" t="n">
        <x:v>3</x:v>
      </x:c>
      <x:c r="J4" s="12" t="str">
        <x:v>Ambos</x:v>
      </x:c>
      <x:c r="K4" s="12" t="str">
        <x:v>S2</x:v>
      </x:c>
      <x:c r="L4" s="12" t="str">
        <x:v>En progreso</x:v>
      </x:c>
      <x:c r="M4" s="12" t="str"/>
      <x:c r="N4" s="24" t="n">
        <x:v>46270</x:v>
      </x:c>
      <x:c r="O4" s="24" t="n">
        <x:v>46275</x:v>
      </x:c>
      <x:c r="P4" s="12" t="str"/>
      <x:c r="Q4" s="12" t="str"/>
    </x:row>
    <x:row r="5">
      <x:c r="A5" s="130" t="str">
        <x:v>B02</x:v>
      </x:c>
      <x:c r="B5" s="12" t="str">
        <x:v>E1: Infraestructura y entorno</x:v>
      </x:c>
      <x:c r="C5" s="12" t="str">
        <x:v>Tarea</x:v>
      </x:c>
      <x:c r="D5" s="12" t="str">
        <x:v>Instalar DevStack de un nodo</x:v>
      </x:c>
      <x:c r="E5" s="12" t="str">
        <x:v>OE2</x:v>
      </x:c>
      <x:c r="F5" s="12" t="str">
        <x:v>RF01</x:v>
      </x:c>
      <x:c r="G5" s="12" t="str">
        <x:v>Must</x:v>
      </x:c>
      <x:c r="H5" s="12" t="str">
        <x:v>DevStack inicia correctamente y los servicios críticos responden.</x:v>
      </x:c>
      <x:c r="I5" s="12" t="n">
        <x:v>5</x:v>
      </x:c>
      <x:c r="J5" s="12" t="str">
        <x:v>Ambos</x:v>
      </x:c>
      <x:c r="K5" s="12" t="str">
        <x:v>S2</x:v>
      </x:c>
      <x:c r="L5" s="12" t="str">
        <x:v>Pendiente</x:v>
      </x:c>
      <x:c r="M5" s="12" t="str">
        <x:v>B01</x:v>
      </x:c>
      <x:c r="N5" s="24" t="n">
        <x:v>46273</x:v>
      </x:c>
      <x:c r="O5" s="24" t="n">
        <x:v>46280</x:v>
      </x:c>
      <x:c r="P5" s="12" t="str"/>
      <x:c r="Q5" s="12" t="str"/>
    </x:row>
    <x:row r="6">
      <x:c r="A6" s="130" t="str">
        <x:v>B03</x:v>
      </x:c>
      <x:c r="B6" s="12" t="str">
        <x:v>E1: Infraestructura y entorno</x:v>
      </x:c>
      <x:c r="C6" s="12" t="str">
        <x:v>Tarea</x:v>
      </x:c>
      <x:c r="D6" s="12" t="str">
        <x:v>Crear y documentar smoke tests del OpenStack original</x:v>
      </x:c>
      <x:c r="E6" s="12" t="str">
        <x:v>OE2</x:v>
      </x:c>
      <x:c r="F6" s="12" t="str">
        <x:v>RF01</x:v>
      </x:c>
      <x:c r="G6" s="12" t="str">
        <x:v>Must</x:v>
      </x:c>
      <x:c r="H6" s="12" t="str">
        <x:v>La suite de smoke tests ejecuta correctamente todos los casos críticos definidos.</x:v>
      </x:c>
      <x:c r="I6" s="12" t="n">
        <x:v>5</x:v>
      </x:c>
      <x:c r="J6" s="12" t="str">
        <x:v>Ambos</x:v>
      </x:c>
      <x:c r="K6" s="12" t="str">
        <x:v>S2</x:v>
      </x:c>
      <x:c r="L6" s="12" t="str">
        <x:v>Pendiente</x:v>
      </x:c>
      <x:c r="M6" s="12" t="str">
        <x:v>B02</x:v>
      </x:c>
      <x:c r="N6" s="24" t="n">
        <x:v>46280</x:v>
      </x:c>
      <x:c r="O6" s="24" t="n">
        <x:v>46289</x:v>
      </x:c>
      <x:c r="P6" s="12" t="str"/>
      <x:c r="Q6" s="12" t="str"/>
    </x:row>
    <x:row r="7">
      <x:c r="A7" s="130" t="str">
        <x:v>B04</x:v>
      </x:c>
      <x:c r="B7" s="12" t="str">
        <x:v>E2: Análisis y compatibilidad</x:v>
      </x:c>
      <x:c r="C7" s="12" t="str">
        <x:v>Spike</x:v>
      </x:c>
      <x:c r="D7" s="12" t="str">
        <x:v>Analizar arquitectura interna de Placement</x:v>
      </x:c>
      <x:c r="E7" s="12" t="str">
        <x:v>OE1</x:v>
      </x:c>
      <x:c r="F7" s="12" t="str">
        <x:v>RF02</x:v>
      </x:c>
      <x:c r="G7" s="12" t="str">
        <x:v>Must</x:v>
      </x:c>
      <x:c r="H7" s="12" t="str">
        <x:v>Arquitectura, componentes y dependencias relevantes quedan documentados.</x:v>
      </x:c>
      <x:c r="I7" s="12" t="n">
        <x:v>5</x:v>
      </x:c>
      <x:c r="J7" s="12" t="str">
        <x:v>Paolo</x:v>
      </x:c>
      <x:c r="K7" s="12" t="str">
        <x:v>S2</x:v>
      </x:c>
      <x:c r="L7" s="12" t="str">
        <x:v>En progreso</x:v>
      </x:c>
      <x:c r="M7" s="12" t="str"/>
      <x:c r="N7" s="24" t="n">
        <x:v>46270</x:v>
      </x:c>
      <x:c r="O7" s="24" t="n">
        <x:v>46283</x:v>
      </x:c>
      <x:c r="P7" s="12" t="str"/>
      <x:c r="Q7" s="12" t="str"/>
    </x:row>
    <x:row r="8">
      <x:c r="A8" s="130" t="str">
        <x:v>B05</x:v>
      </x:c>
      <x:c r="B8" s="12" t="str">
        <x:v>E2: Análisis y compatibilidad</x:v>
      </x:c>
      <x:c r="C8" s="12" t="str">
        <x:v>Tarea</x:v>
      </x:c>
      <x:c r="D8" s="12" t="str">
        <x:v>Documentar endpoints y microversiones requeridas</x:v>
      </x:c>
      <x:c r="E8" s="12" t="str">
        <x:v>OE1</x:v>
      </x:c>
      <x:c r="F8" s="12" t="str">
        <x:v>RF02</x:v>
      </x:c>
      <x:c r="G8" s="12" t="str">
        <x:v>Must</x:v>
      </x:c>
      <x:c r="H8" s="12" t="str">
        <x:v>Existe inventario de rutas y microversiones incluidas y excluidas del alcance.</x:v>
      </x:c>
      <x:c r="I8" s="12" t="n">
        <x:v>5</x:v>
      </x:c>
      <x:c r="J8" s="12" t="str">
        <x:v>Juan</x:v>
      </x:c>
      <x:c r="K8" s="12" t="str">
        <x:v>S2</x:v>
      </x:c>
      <x:c r="L8" s="12" t="str">
        <x:v>Pendiente</x:v>
      </x:c>
      <x:c r="M8" s="12" t="str">
        <x:v>B04</x:v>
      </x:c>
      <x:c r="N8" s="24" t="n">
        <x:v>46277</x:v>
      </x:c>
      <x:c r="O8" s="24" t="n">
        <x:v>46287</x:v>
      </x:c>
      <x:c r="P8" s="12" t="str"/>
      <x:c r="Q8" s="12" t="str"/>
    </x:row>
    <x:row r="9">
      <x:c r="A9" s="130" t="str">
        <x:v>B06</x:v>
      </x:c>
      <x:c r="B9" s="12" t="str">
        <x:v>E2: Análisis y compatibilidad</x:v>
      </x:c>
      <x:c r="C9" s="12" t="str">
        <x:v>Tarea</x:v>
      </x:c>
      <x:c r="D9" s="12" t="str">
        <x:v>Registrar interacción Nova → Placement</x:v>
      </x:c>
      <x:c r="E9" s="12" t="str">
        <x:v>OE1</x:v>
      </x:c>
      <x:c r="F9" s="12" t="str">
        <x:v>RF02</x:v>
      </x:c>
      <x:c r="G9" s="12" t="str">
        <x:v>Must</x:v>
      </x:c>
      <x:c r="H9" s="12" t="str">
        <x:v>Se documentan llamadas y datos intercambiados en los flujos críticos.</x:v>
      </x:c>
      <x:c r="I9" s="12" t="n">
        <x:v>5</x:v>
      </x:c>
      <x:c r="J9" s="12" t="str">
        <x:v>Ambos</x:v>
      </x:c>
      <x:c r="K9" s="12" t="str">
        <x:v>S2</x:v>
      </x:c>
      <x:c r="L9" s="12" t="str">
        <x:v>Pendiente</x:v>
      </x:c>
      <x:c r="M9" s="12" t="str">
        <x:v>B02,B04</x:v>
      </x:c>
      <x:c r="N9" s="24" t="n">
        <x:v>46283</x:v>
      </x:c>
      <x:c r="O9" s="24" t="n">
        <x:v>46293</x:v>
      </x:c>
      <x:c r="P9" s="12" t="str"/>
      <x:c r="Q9" s="12" t="str"/>
    </x:row>
    <x:row r="10">
      <x:c r="A10" s="130" t="str">
        <x:v>B07</x:v>
      </x:c>
      <x:c r="B10" s="12" t="str">
        <x:v>E3: Reimplementación Placement</x:v>
      </x:c>
      <x:c r="C10" s="12" t="str">
        <x:v>Historia</x:v>
      </x:c>
      <x:c r="D10" s="12" t="str">
        <x:v>Implementar Resource Providers e Inventories</x:v>
      </x:c>
      <x:c r="E10" s="12" t="str">
        <x:v>OE3</x:v>
      </x:c>
      <x:c r="F10" s="12" t="str">
        <x:v>RF03</x:v>
      </x:c>
      <x:c r="G10" s="12" t="str">
        <x:v>Must</x:v>
      </x:c>
      <x:c r="H10" s="12" t="str">
        <x:v>Operaciones priorizadas de providers e inventories superan las pruebas definidas.</x:v>
      </x:c>
      <x:c r="I10" s="12" t="n">
        <x:v>8</x:v>
      </x:c>
      <x:c r="J10" s="12" t="str">
        <x:v>Sin asignar</x:v>
      </x:c>
      <x:c r="K10" s="12" t="str">
        <x:v>S3</x:v>
      </x:c>
      <x:c r="L10" s="12" t="str">
        <x:v>Pendiente</x:v>
      </x:c>
      <x:c r="M10" s="12" t="str">
        <x:v>B05</x:v>
      </x:c>
      <x:c r="N10" s="24" t="n">
        <x:v>46298</x:v>
      </x:c>
      <x:c r="O10" s="24" t="n">
        <x:v>46307</x:v>
      </x:c>
      <x:c r="P10" s="12" t="str"/>
      <x:c r="Q10" s="12" t="str"/>
    </x:row>
    <x:row r="11">
      <x:c r="A11" s="130" t="str">
        <x:v>B08</x:v>
      </x:c>
      <x:c r="B11" s="12" t="str">
        <x:v>E3: Reimplementación Placement</x:v>
      </x:c>
      <x:c r="C11" s="12" t="str">
        <x:v>Historia</x:v>
      </x:c>
      <x:c r="D11" s="12" t="str">
        <x:v>Implementar Traits y Resource Classes</x:v>
      </x:c>
      <x:c r="E11" s="12" t="str">
        <x:v>OE3</x:v>
      </x:c>
      <x:c r="F11" s="12" t="str">
        <x:v>RF04</x:v>
      </x:c>
      <x:c r="G11" s="12" t="str">
        <x:v>Must</x:v>
      </x:c>
      <x:c r="H11" s="12" t="str">
        <x:v>Operaciones priorizadas de traits y resource classes superan las pruebas.</x:v>
      </x:c>
      <x:c r="I11" s="12" t="n">
        <x:v>8</x:v>
      </x:c>
      <x:c r="J11" s="12" t="str">
        <x:v>Sin asignar</x:v>
      </x:c>
      <x:c r="K11" s="12" t="str">
        <x:v>S3</x:v>
      </x:c>
      <x:c r="L11" s="12" t="str">
        <x:v>Pendiente</x:v>
      </x:c>
      <x:c r="M11" s="12" t="str">
        <x:v>B05</x:v>
      </x:c>
      <x:c r="N11" s="24" t="n">
        <x:v>46302</x:v>
      </x:c>
      <x:c r="O11" s="24" t="n">
        <x:v>46311</x:v>
      </x:c>
      <x:c r="P11" s="12" t="str"/>
      <x:c r="Q11" s="12" t="str"/>
    </x:row>
    <x:row r="12">
      <x:c r="A12" s="130" t="str">
        <x:v>B09</x:v>
      </x:c>
      <x:c r="B12" s="12" t="str">
        <x:v>E3: Reimplementación Placement</x:v>
      </x:c>
      <x:c r="C12" s="12" t="str">
        <x:v>Historia</x:v>
      </x:c>
      <x:c r="D12" s="12" t="str">
        <x:v>Implementar Allocations</x:v>
      </x:c>
      <x:c r="E12" s="12" t="str">
        <x:v>OE3</x:v>
      </x:c>
      <x:c r="F12" s="12" t="str">
        <x:v>RF05</x:v>
      </x:c>
      <x:c r="G12" s="12" t="str">
        <x:v>Must</x:v>
      </x:c>
      <x:c r="H12" s="12" t="str">
        <x:v>Las allocations priorizadas se crean, consultan y modifican correctamente.</x:v>
      </x:c>
      <x:c r="I12" s="12" t="n">
        <x:v>8</x:v>
      </x:c>
      <x:c r="J12" s="12" t="str">
        <x:v>Sin asignar</x:v>
      </x:c>
      <x:c r="K12" s="12" t="str">
        <x:v>S3</x:v>
      </x:c>
      <x:c r="L12" s="12" t="str">
        <x:v>Pendiente</x:v>
      </x:c>
      <x:c r="M12" s="12" t="str">
        <x:v>B07</x:v>
      </x:c>
      <x:c r="N12" s="24" t="n">
        <x:v>46307</x:v>
      </x:c>
      <x:c r="O12" s="24" t="n">
        <x:v>46317</x:v>
      </x:c>
      <x:c r="P12" s="12" t="str"/>
      <x:c r="Q12" s="12" t="str"/>
    </x:row>
    <x:row r="13">
      <x:c r="A13" s="130" t="str">
        <x:v>B10</x:v>
      </x:c>
      <x:c r="B13" s="12" t="str">
        <x:v>E3: Reimplementación Placement</x:v>
      </x:c>
      <x:c r="C13" s="12" t="str">
        <x:v>Historia</x:v>
      </x:c>
      <x:c r="D13" s="12" t="str">
        <x:v>Implementar Allocation Candidates</x:v>
      </x:c>
      <x:c r="E13" s="12" t="str">
        <x:v>OE3</x:v>
      </x:c>
      <x:c r="F13" s="12" t="str">
        <x:v>RF06</x:v>
      </x:c>
      <x:c r="G13" s="12" t="str">
        <x:v>Must</x:v>
      </x:c>
      <x:c r="H13" s="12" t="str">
        <x:v>Las consultas seleccionadas producen candidatos compatibles con la línea base.</x:v>
      </x:c>
      <x:c r="I13" s="12" t="n">
        <x:v>13</x:v>
      </x:c>
      <x:c r="J13" s="12" t="str">
        <x:v>Sin asignar</x:v>
      </x:c>
      <x:c r="K13" s="12" t="str">
        <x:v>S3</x:v>
      </x:c>
      <x:c r="L13" s="12" t="str">
        <x:v>Pendiente</x:v>
      </x:c>
      <x:c r="M13" s="12" t="str">
        <x:v>B07,B08,B09</x:v>
      </x:c>
      <x:c r="N13" s="24" t="n">
        <x:v>46310</x:v>
      </x:c>
      <x:c r="O13" s="24" t="n">
        <x:v>46325</x:v>
      </x:c>
      <x:c r="P13" s="12" t="str"/>
      <x:c r="Q13" s="12" t="str"/>
    </x:row>
    <x:row r="14">
      <x:c r="A14" s="130" t="str">
        <x:v>B11</x:v>
      </x:c>
      <x:c r="B14" s="12" t="str">
        <x:v>E3: Reimplementación Placement</x:v>
      </x:c>
      <x:c r="C14" s="12" t="str">
        <x:v>Tarea</x:v>
      </x:c>
      <x:c r="D14" s="12" t="str">
        <x:v>Implementar persistencia</x:v>
      </x:c>
      <x:c r="E14" s="12" t="str">
        <x:v>OE3</x:v>
      </x:c>
      <x:c r="F14" s="12" t="str">
        <x:v>RF07</x:v>
      </x:c>
      <x:c r="G14" s="12" t="str">
        <x:v>Must</x:v>
      </x:c>
      <x:c r="H14" s="12" t="str">
        <x:v>Los datos requeridos persisten y se recuperan correctamente.</x:v>
      </x:c>
      <x:c r="I14" s="12" t="n">
        <x:v>8</x:v>
      </x:c>
      <x:c r="J14" s="12" t="str">
        <x:v>Sin asignar</x:v>
      </x:c>
      <x:c r="K14" s="12" t="str">
        <x:v>S3</x:v>
      </x:c>
      <x:c r="L14" s="12" t="str">
        <x:v>Pendiente</x:v>
      </x:c>
      <x:c r="M14" s="12" t="str">
        <x:v>B07</x:v>
      </x:c>
      <x:c r="N14" s="24" t="n">
        <x:v>46303</x:v>
      </x:c>
      <x:c r="O14" s="24" t="n">
        <x:v>46315</x:v>
      </x:c>
      <x:c r="P14" s="12" t="str"/>
      <x:c r="Q14" s="12" t="str"/>
    </x:row>
    <x:row r="15">
      <x:c r="A15" s="130" t="str">
        <x:v>B12</x:v>
      </x:c>
      <x:c r="B15" s="12" t="str">
        <x:v>E3: Reimplementación Placement</x:v>
      </x:c>
      <x:c r="C15" s="12" t="str">
        <x:v>Tarea</x:v>
      </x:c>
      <x:c r="D15" s="12" t="str">
        <x:v>Integrar autenticación OpenStack</x:v>
      </x:c>
      <x:c r="E15" s="12" t="str">
        <x:v>OE3/OE4</x:v>
      </x:c>
      <x:c r="F15" s="12" t="str">
        <x:v>RF08</x:v>
      </x:c>
      <x:c r="G15" s="12" t="str">
        <x:v>Must</x:v>
      </x:c>
      <x:c r="H15" s="12" t="str">
        <x:v>Solicitudes autorizadas y no autorizadas cumplen los criterios definidos.</x:v>
      </x:c>
      <x:c r="I15" s="12" t="n">
        <x:v>8</x:v>
      </x:c>
      <x:c r="J15" s="12" t="str">
        <x:v>Sin asignar</x:v>
      </x:c>
      <x:c r="K15" s="12" t="str">
        <x:v>S3</x:v>
      </x:c>
      <x:c r="L15" s="12" t="str">
        <x:v>Pendiente</x:v>
      </x:c>
      <x:c r="M15" s="12" t="str">
        <x:v>B05</x:v>
      </x:c>
      <x:c r="N15" s="24" t="n">
        <x:v>46313</x:v>
      </x:c>
      <x:c r="O15" s="24" t="n">
        <x:v>46325</x:v>
      </x:c>
      <x:c r="P15" s="12" t="str"/>
      <x:c r="Q15" s="12" t="str"/>
    </x:row>
    <x:row r="16">
      <x:c r="A16" s="130" t="str">
        <x:v>B13</x:v>
      </x:c>
      <x:c r="B16" s="12" t="str">
        <x:v>E4: Integración OpenStack</x:v>
      </x:c>
      <x:c r="C16" s="12" t="str">
        <x:v>Historia</x:v>
      </x:c>
      <x:c r="D16" s="12" t="str">
        <x:v>Sustituir Placement original por la reimplementación</x:v>
      </x:c>
      <x:c r="E16" s="12" t="str">
        <x:v>OE4</x:v>
      </x:c>
      <x:c r="F16" s="12" t="str">
        <x:v>RF09</x:v>
      </x:c>
      <x:c r="G16" s="12" t="str">
        <x:v>Must</x:v>
      </x:c>
      <x:c r="H16" s="12" t="str">
        <x:v>Los consumidores definidos utilizan el nuevo servicio sin cambios sustanciales.</x:v>
      </x:c>
      <x:c r="I16" s="12" t="n">
        <x:v>8</x:v>
      </x:c>
      <x:c r="J16" s="12" t="str">
        <x:v>Ambos</x:v>
      </x:c>
      <x:c r="K16" s="12" t="str">
        <x:v>S4</x:v>
      </x:c>
      <x:c r="L16" s="12" t="str">
        <x:v>Pendiente</x:v>
      </x:c>
      <x:c r="M16" s="12" t="str">
        <x:v>B07,B08,B09,B10,B11,B12</x:v>
      </x:c>
      <x:c r="N16" s="24" t="n">
        <x:v>46326</x:v>
      </x:c>
      <x:c r="O16" s="24" t="n">
        <x:v>46336</x:v>
      </x:c>
      <x:c r="P16" s="12" t="str"/>
      <x:c r="Q16" s="12" t="str"/>
    </x:row>
    <x:row r="17">
      <x:c r="A17" s="130" t="str">
        <x:v>B14</x:v>
      </x:c>
      <x:c r="B17" s="12" t="str">
        <x:v>E4: Integración OpenStack</x:v>
      </x:c>
      <x:c r="C17" s="12" t="str">
        <x:v>Historia</x:v>
      </x:c>
      <x:c r="D17" s="12" t="str">
        <x:v>Crear instancia utilizando Placement reimplementado</x:v>
      </x:c>
      <x:c r="E17" s="12" t="str">
        <x:v>OE4</x:v>
      </x:c>
      <x:c r="F17" s="12" t="str">
        <x:v>RF09</x:v>
      </x:c>
      <x:c r="G17" s="12" t="str">
        <x:v>Must</x:v>
      </x:c>
      <x:c r="H17" s="12" t="str">
        <x:v>Una instancia OpenStack puede ser creada correctamente y el proceso utiliza la nueva implementación de Placement.</x:v>
      </x:c>
      <x:c r="I17" s="12" t="n">
        <x:v>8</x:v>
      </x:c>
      <x:c r="J17" s="12" t="str">
        <x:v>Ambos</x:v>
      </x:c>
      <x:c r="K17" s="12" t="str">
        <x:v>S4</x:v>
      </x:c>
      <x:c r="L17" s="12" t="str">
        <x:v>Pendiente</x:v>
      </x:c>
      <x:c r="M17" s="12" t="str">
        <x:v>B13</x:v>
      </x:c>
      <x:c r="N17" s="24" t="n">
        <x:v>46334</x:v>
      </x:c>
      <x:c r="O17" s="24" t="n">
        <x:v>46341</x:v>
      </x:c>
      <x:c r="P17" s="12" t="str"/>
      <x:c r="Q17" s="12" t="str"/>
    </x:row>
    <x:row r="18">
      <x:c r="A18" s="130" t="str">
        <x:v>B15</x:v>
      </x:c>
      <x:c r="B18" s="12" t="str">
        <x:v>E5: Pruebas y benchmarking</x:v>
      </x:c>
      <x:c r="C18" s="12" t="str">
        <x:v>Tarea</x:v>
      </x:c>
      <x:c r="D18" s="12" t="str">
        <x:v>Crear suite automática de pruebas de integración</x:v>
      </x:c>
      <x:c r="E18" s="12" t="str">
        <x:v>OE4/OE5</x:v>
      </x:c>
      <x:c r="F18" s="12" t="str">
        <x:v>RF12</x:v>
      </x:c>
      <x:c r="G18" s="12" t="str">
        <x:v>Must</x:v>
      </x:c>
      <x:c r="H18" s="12" t="str">
        <x:v>La suite se ejecuta de forma repetible y entrega resultados de los casos críticos.</x:v>
      </x:c>
      <x:c r="I18" s="12" t="n">
        <x:v>8</x:v>
      </x:c>
      <x:c r="J18" s="12" t="str">
        <x:v>Ambos</x:v>
      </x:c>
      <x:c r="K18" s="12" t="str">
        <x:v>S4</x:v>
      </x:c>
      <x:c r="L18" s="12" t="str">
        <x:v>Pendiente</x:v>
      </x:c>
      <x:c r="M18" s="12" t="str">
        <x:v>B13</x:v>
      </x:c>
      <x:c r="N18" s="24" t="n">
        <x:v>46331</x:v>
      </x:c>
      <x:c r="O18" s="24" t="n">
        <x:v>46344</x:v>
      </x:c>
      <x:c r="P18" s="12" t="str"/>
      <x:c r="Q18" s="12" t="str"/>
    </x:row>
    <x:row r="19">
      <x:c r="A19" s="130" t="str">
        <x:v>B16</x:v>
      </x:c>
      <x:c r="B19" s="12" t="str">
        <x:v>E5: Pruebas y benchmarking</x:v>
      </x:c>
      <x:c r="C19" s="12" t="str">
        <x:v>Tarea</x:v>
      </x:c>
      <x:c r="D19" s="12" t="str">
        <x:v>Crear metodología experimental de benchmarking</x:v>
      </x:c>
      <x:c r="E19" s="12" t="str">
        <x:v>OE5</x:v>
      </x:c>
      <x:c r="F19" s="12" t="str">
        <x:v>RNF02/RNF03</x:v>
      </x:c>
      <x:c r="G19" s="12" t="str">
        <x:v>Must</x:v>
      </x:c>
      <x:c r="H19" s="12" t="str">
        <x:v>Existe protocolo documentado de carga, repeticiones, métricas y ambiente.</x:v>
      </x:c>
      <x:c r="I19" s="12" t="n">
        <x:v>5</x:v>
      </x:c>
      <x:c r="J19" s="12" t="str">
        <x:v>Paolo</x:v>
      </x:c>
      <x:c r="K19" s="12" t="str">
        <x:v>S4</x:v>
      </x:c>
      <x:c r="L19" s="12" t="str">
        <x:v>Pendiente</x:v>
      </x:c>
      <x:c r="M19" s="12" t="str">
        <x:v>B03</x:v>
      </x:c>
      <x:c r="N19" s="24" t="n">
        <x:v>46327</x:v>
      </x:c>
      <x:c r="O19" s="24" t="n">
        <x:v>46336</x:v>
      </x:c>
      <x:c r="P19" s="12" t="str"/>
      <x:c r="Q19" s="12" t="str"/>
    </x:row>
    <x:row r="20">
      <x:c r="A20" s="130" t="str">
        <x:v>B17</x:v>
      </x:c>
      <x:c r="B20" s="12" t="str">
        <x:v>E5: Pruebas y benchmarking</x:v>
      </x:c>
      <x:c r="C20" s="12" t="str">
        <x:v>Tarea</x:v>
      </x:c>
      <x:c r="D20" s="12" t="str">
        <x:v>Medir latencia y throughput</x:v>
      </x:c>
      <x:c r="E20" s="12" t="str">
        <x:v>OE5</x:v>
      </x:c>
      <x:c r="F20" s="12" t="str">
        <x:v>RNF02</x:v>
      </x:c>
      <x:c r="G20" s="12" t="str">
        <x:v>Must</x:v>
      </x:c>
      <x:c r="H20" s="12" t="str">
        <x:v>Se obtienen mediciones comparables de ambas implementaciones.</x:v>
      </x:c>
      <x:c r="I20" s="12" t="n">
        <x:v>5</x:v>
      </x:c>
      <x:c r="J20" s="12" t="str">
        <x:v>Ambos</x:v>
      </x:c>
      <x:c r="K20" s="12" t="str">
        <x:v>S5</x:v>
      </x:c>
      <x:c r="L20" s="12" t="str">
        <x:v>Pendiente</x:v>
      </x:c>
      <x:c r="M20" s="12" t="str">
        <x:v>B14,B16</x:v>
      </x:c>
      <x:c r="N20" s="24" t="n">
        <x:v>46347</x:v>
      </x:c>
      <x:c r="O20" s="24" t="n">
        <x:v>46354</x:v>
      </x:c>
      <x:c r="P20" s="12" t="str"/>
      <x:c r="Q20" s="12" t="str"/>
    </x:row>
    <x:row r="21">
      <x:c r="A21" s="130" t="str">
        <x:v>B18</x:v>
      </x:c>
      <x:c r="B21" s="12" t="str">
        <x:v>E5: Pruebas y benchmarking</x:v>
      </x:c>
      <x:c r="C21" s="12" t="str">
        <x:v>Tarea</x:v>
      </x:c>
      <x:c r="D21" s="12" t="str">
        <x:v>Medir CPU y memoria</x:v>
      </x:c>
      <x:c r="E21" s="12" t="str">
        <x:v>OE5</x:v>
      </x:c>
      <x:c r="F21" s="12" t="str">
        <x:v>RNF03</x:v>
      </x:c>
      <x:c r="G21" s="12" t="str">
        <x:v>Must</x:v>
      </x:c>
      <x:c r="H21" s="12" t="str">
        <x:v>Se obtienen métricas comparables de CPU y RAM en escenarios definidos.</x:v>
      </x:c>
      <x:c r="I21" s="12" t="n">
        <x:v>5</x:v>
      </x:c>
      <x:c r="J21" s="12" t="str">
        <x:v>Ambos</x:v>
      </x:c>
      <x:c r="K21" s="12" t="str">
        <x:v>S5</x:v>
      </x:c>
      <x:c r="L21" s="12" t="str">
        <x:v>Pendiente</x:v>
      </x:c>
      <x:c r="M21" s="12" t="str">
        <x:v>B14,B16</x:v>
      </x:c>
      <x:c r="N21" s="24" t="n">
        <x:v>46347</x:v>
      </x:c>
      <x:c r="O21" s="24" t="n">
        <x:v>46354</x:v>
      </x:c>
      <x:c r="P21" s="12" t="str"/>
      <x:c r="Q21" s="12" t="str"/>
    </x:row>
    <x:row r="22">
      <x:c r="A22" s="130" t="str">
        <x:v>B19</x:v>
      </x:c>
      <x:c r="B22" s="12" t="str">
        <x:v>E6: Reimplementación Glance</x:v>
      </x:c>
      <x:c r="C22" s="12" t="str">
        <x:v>Spike</x:v>
      </x:c>
      <x:c r="D22" s="12" t="str">
        <x:v>Analizar arquitectura, Image API, autenticación, persistencia y flujo de datos de OpenStack Glance</x:v>
      </x:c>
      <x:c r="E22" s="12" t="str">
        <x:v>OE1</x:v>
      </x:c>
      <x:c r="F22" s="12" t="str">
        <x:v>RF10</x:v>
      </x:c>
      <x:c r="G22" s="12" t="str">
        <x:v>Must</x:v>
      </x:c>
      <x:c r="H22" s="12" t="str">
        <x:v>Existe una especificación del alcance de Glance con endpoints, estados de imagen, almacenamiento, autenticación y flujos de integración requeridos.</x:v>
      </x:c>
      <x:c r="I22" s="12" t="n">
        <x:v>5</x:v>
      </x:c>
      <x:c r="J22" s="12" t="str">
        <x:v>Ambos</x:v>
      </x:c>
      <x:c r="K22" s="12" t="str">
        <x:v>S2</x:v>
      </x:c>
      <x:c r="L22" s="12" t="str">
        <x:v>Pendiente</x:v>
      </x:c>
      <x:c r="M22" s="12" t="str">
        <x:v>B02,B04</x:v>
      </x:c>
      <x:c r="N22" s="24" t="n">
        <x:v>46285</x:v>
      </x:c>
      <x:c r="O22" s="24" t="n">
        <x:v>46297</x:v>
      </x:c>
      <x:c r="P22" s="12" t="str"/>
      <x:c r="Q22" s="12" t="str">
        <x:v>Glance queda confirmado como segundo servicio.</x:v>
      </x:c>
    </x:row>
    <x:row r="23">
      <x:c r="A23" s="130" t="str">
        <x:v>B20</x:v>
      </x:c>
      <x:c r="B23" s="12" t="str">
        <x:v>E6: Reimplementación Glance</x:v>
      </x:c>
      <x:c r="C23" s="12" t="str">
        <x:v>Historia</x:v>
      </x:c>
      <x:c r="D23" s="12" t="str">
        <x:v>Implementar el catálogo mínimo de Glance: creación, listado, consulta, actualización y eliminación de metadatos de imágenes</x:v>
      </x:c>
      <x:c r="E23" s="12" t="str">
        <x:v>OE3/OE4</x:v>
      </x:c>
      <x:c r="F23" s="12" t="str">
        <x:v>RF10</x:v>
      </x:c>
      <x:c r="G23" s="12" t="str">
        <x:v>Must</x:v>
      </x:c>
      <x:c r="H23" s="12" t="str">
        <x:v>Las operaciones de metadatos priorizadas de Image API responden de forma compatible con la línea base.</x:v>
      </x:c>
      <x:c r="I23" s="12" t="n">
        <x:v>13</x:v>
      </x:c>
      <x:c r="J23" s="12" t="str">
        <x:v>Sin asignar</x:v>
      </x:c>
      <x:c r="K23" s="12" t="str">
        <x:v>S4</x:v>
      </x:c>
      <x:c r="L23" s="12" t="str">
        <x:v>Pendiente</x:v>
      </x:c>
      <x:c r="M23" s="12" t="str">
        <x:v>B19</x:v>
      </x:c>
      <x:c r="N23" s="24" t="n">
        <x:v>46326</x:v>
      </x:c>
      <x:c r="O23" s="24" t="n">
        <x:v>46338</x:v>
      </x:c>
      <x:c r="P23" s="12" t="str"/>
      <x:c r="Q23" s="12" t="str">
        <x:v>Alcance restringido a las operaciones utilizadas en el laboratorio.</x:v>
      </x:c>
    </x:row>
    <x:row r="24">
      <x:c r="A24" s="130" t="str">
        <x:v>B21</x:v>
      </x:c>
      <x:c r="B24" s="12" t="str">
        <x:v>E7: Documentación</x:v>
      </x:c>
      <x:c r="C24" s="12" t="str">
        <x:v>Tarea</x:v>
      </x:c>
      <x:c r="D24" s="12" t="str">
        <x:v>Documentar arquitectura y decisiones técnicas</x:v>
      </x:c>
      <x:c r="E24" s="12" t="str">
        <x:v>OE1/OE3</x:v>
      </x:c>
      <x:c r="F24" s="12" t="str">
        <x:v>RNF05/RNF06</x:v>
      </x:c>
      <x:c r="G24" s="12" t="str">
        <x:v>Must</x:v>
      </x:c>
      <x:c r="H24" s="12" t="str">
        <x:v>Las decisiones relevantes cuentan con contexto, alternativa y justificación.</x:v>
      </x:c>
      <x:c r="I24" s="12" t="n">
        <x:v>5</x:v>
      </x:c>
      <x:c r="J24" s="12" t="str">
        <x:v>Ambos</x:v>
      </x:c>
      <x:c r="K24" s="12" t="str">
        <x:v>S3</x:v>
      </x:c>
      <x:c r="L24" s="12" t="str">
        <x:v>En progreso</x:v>
      </x:c>
      <x:c r="M24" s="12" t="str"/>
      <x:c r="N24" s="24" t="n">
        <x:v>46270</x:v>
      </x:c>
      <x:c r="O24" s="24" t="n">
        <x:v>46325</x:v>
      </x:c>
      <x:c r="P24" s="12" t="str"/>
      <x:c r="Q24" s="12" t="str">
        <x:v>Actividad continua.</x:v>
      </x:c>
    </x:row>
    <x:row r="25">
      <x:c r="A25" s="130" t="str">
        <x:v>B22</x:v>
      </x:c>
      <x:c r="B25" s="12" t="str">
        <x:v>E7: Documentación</x:v>
      </x:c>
      <x:c r="C25" s="12" t="str">
        <x:v>Tarea</x:v>
      </x:c>
      <x:c r="D25" s="12" t="str">
        <x:v>Documentar instalación, despliegue y pruebas</x:v>
      </x:c>
      <x:c r="E25" s="12" t="str">
        <x:v>OE2/OE4/OE5</x:v>
      </x:c>
      <x:c r="F25" s="12" t="str">
        <x:v>RNF05</x:v>
      </x:c>
      <x:c r="G25" s="12" t="str">
        <x:v>Must</x:v>
      </x:c>
      <x:c r="H25" s="12" t="str">
        <x:v>Un tercero puede seguir las instrucciones para reproducir el entorno y pruebas.</x:v>
      </x:c>
      <x:c r="I25" s="12" t="n">
        <x:v>5</x:v>
      </x:c>
      <x:c r="J25" s="12" t="str">
        <x:v>Ambos</x:v>
      </x:c>
      <x:c r="K25" s="12" t="str">
        <x:v>S4</x:v>
      </x:c>
      <x:c r="L25" s="12" t="str">
        <x:v>Pendiente</x:v>
      </x:c>
      <x:c r="M25" s="12" t="str">
        <x:v>B02,B15</x:v>
      </x:c>
      <x:c r="N25" s="24" t="n">
        <x:v>46280</x:v>
      </x:c>
      <x:c r="O25" s="24" t="n">
        <x:v>46346</x:v>
      </x:c>
      <x:c r="P25" s="12" t="str"/>
      <x:c r="Q25" s="12" t="str">
        <x:v>Actividad continua.</x:v>
      </x:c>
    </x:row>
    <x:row r="26">
      <x:c r="A26" s="130" t="str">
        <x:v>B23</x:v>
      </x:c>
      <x:c r="B26" s="12" t="str">
        <x:v>E7: Documentación</x:v>
      </x:c>
      <x:c r="C26" s="12" t="str">
        <x:v>Tarea</x:v>
      </x:c>
      <x:c r="D26" s="12" t="str">
        <x:v>Preparar resultados finales y comparaciones</x:v>
      </x:c>
      <x:c r="E26" s="12" t="str">
        <x:v>OE5</x:v>
      </x:c>
      <x:c r="F26" s="12" t="str">
        <x:v>RNF02/RNF03</x:v>
      </x:c>
      <x:c r="G26" s="12" t="str">
        <x:v>Must</x:v>
      </x:c>
      <x:c r="H26" s="12" t="str">
        <x:v>Resultados presentados con tablas, gráficos y análisis comparativo.</x:v>
      </x:c>
      <x:c r="I26" s="12" t="n">
        <x:v>8</x:v>
      </x:c>
      <x:c r="J26" s="12" t="str">
        <x:v>Ambos</x:v>
      </x:c>
      <x:c r="K26" s="12" t="str">
        <x:v>S5</x:v>
      </x:c>
      <x:c r="L26" s="12" t="str">
        <x:v>Pendiente</x:v>
      </x:c>
      <x:c r="M26" s="12" t="str">
        <x:v>B17,B18</x:v>
      </x:c>
      <x:c r="N26" s="24" t="n">
        <x:v>46353</x:v>
      </x:c>
      <x:c r="O26" s="24" t="n">
        <x:v>46358</x:v>
      </x:c>
      <x:c r="P26" s="12" t="str"/>
      <x:c r="Q26" s="12" t="str"/>
    </x:row>
    <x:row r="27">
      <x:c r="A27" s="130" t="str">
        <x:v>B24</x:v>
      </x:c>
      <x:c r="B27" s="12" t="str">
        <x:v>E7: Documentación</x:v>
      </x:c>
      <x:c r="C27" s="12" t="str">
        <x:v>Tarea</x:v>
      </x:c>
      <x:c r="D27" s="12" t="str">
        <x:v>Preparar informe final</x:v>
      </x:c>
      <x:c r="E27" s="12" t="str">
        <x:v>OE5</x:v>
      </x:c>
      <x:c r="F27" s="12" t="str">
        <x:v>RNF05</x:v>
      </x:c>
      <x:c r="G27" s="12" t="str">
        <x:v>Must</x:v>
      </x:c>
      <x:c r="H27" s="12" t="str">
        <x:v>Informe final integra problema, requerimientos, diseño, implementación, pruebas y conclusiones.</x:v>
      </x:c>
      <x:c r="I27" s="12" t="n">
        <x:v>8</x:v>
      </x:c>
      <x:c r="J27" s="12" t="str">
        <x:v>Ambos</x:v>
      </x:c>
      <x:c r="K27" s="12" t="str">
        <x:v>S5</x:v>
      </x:c>
      <x:c r="L27" s="12" t="str">
        <x:v>Pendiente</x:v>
      </x:c>
      <x:c r="M27" s="12" t="str">
        <x:v>B23</x:v>
      </x:c>
      <x:c r="N27" s="24" t="n">
        <x:v>46351</x:v>
      </x:c>
      <x:c r="O27" s="24" t="n">
        <x:v>46360</x:v>
      </x:c>
      <x:c r="P27" s="12" t="str"/>
      <x:c r="Q27" s="12" t="str"/>
    </x:row>
    <x:row r="28">
      <x:c r="A28" s="130" t="str">
        <x:v>B25</x:v>
      </x:c>
      <x:c r="B28" s="12" t="str">
        <x:v>E6: Reimplementación Glance</x:v>
      </x:c>
      <x:c r="C28" s="12" t="str">
        <x:v>Historia</x:v>
      </x:c>
      <x:c r="D28" s="12" t="str">
        <x:v>Implementar carga y descarga de datos de imagen con un backend de almacenamiento acotado para el laboratorio</x:v>
      </x:c>
      <x:c r="E28" s="12" t="str">
        <x:v>OE3/OE4</x:v>
      </x:c>
      <x:c r="F28" s="12" t="str">
        <x:v>RF10</x:v>
      </x:c>
      <x:c r="G28" s="12" t="str">
        <x:v>Must</x:v>
      </x:c>
      <x:c r="H28" s="12" t="str">
        <x:v>Una imagen puede cargarse, persistirse y descargarse manteniendo estados y respuestas compatibles en los casos definidos.</x:v>
      </x:c>
      <x:c r="I28" s="12" t="n">
        <x:v>13</x:v>
      </x:c>
      <x:c r="J28" s="12" t="str">
        <x:v>Sin asignar</x:v>
      </x:c>
      <x:c r="K28" s="12" t="str">
        <x:v>S4</x:v>
      </x:c>
      <x:c r="L28" s="12" t="str">
        <x:v>Pendiente</x:v>
      </x:c>
      <x:c r="M28" s="12" t="str">
        <x:v>B20</x:v>
      </x:c>
      <x:c r="N28" s="24" t="n">
        <x:v>46331</x:v>
      </x:c>
      <x:c r="O28" s="24" t="n">
        <x:v>46344</x:v>
      </x:c>
      <x:c r="P28" s="12" t="str"/>
      <x:c r="Q28" s="12" t="str">
        <x:v>Se prioriza un backend único y reproducible; no se requiere compatibilidad con todos los stores de Glance.</x:v>
      </x:c>
    </x:row>
    <x:row r="29">
      <x:c r="A29" s="130" t="str">
        <x:v>B26</x:v>
      </x:c>
      <x:c r="B29" s="12" t="str">
        <x:v>E6: Reimplementación Glance</x:v>
      </x:c>
      <x:c r="C29" s="12" t="str">
        <x:v>Historia</x:v>
      </x:c>
      <x:c r="D29" s="12" t="str">
        <x:v>Sustituir Glance original y validar que Nova puede crear una instancia usando una imagen servida por la reimplementación</x:v>
      </x:c>
      <x:c r="E29" s="12" t="str">
        <x:v>OE4/OE5</x:v>
      </x:c>
      <x:c r="F29" s="12" t="str">
        <x:v>RF10</x:v>
      </x:c>
      <x:c r="G29" s="12" t="str">
        <x:v>Must</x:v>
      </x:c>
      <x:c r="H29" s="12" t="str">
        <x:v>El Glance original se detiene, la reimplementación queda operativa y una instancia se crea correctamente desde una imagen gestionada por ella.</x:v>
      </x:c>
      <x:c r="I29" s="12" t="n">
        <x:v>8</x:v>
      </x:c>
      <x:c r="J29" s="12" t="str">
        <x:v>Ambos</x:v>
      </x:c>
      <x:c r="K29" s="12" t="str">
        <x:v>S5</x:v>
      </x:c>
      <x:c r="L29" s="12" t="str">
        <x:v>Pendiente</x:v>
      </x:c>
      <x:c r="M29" s="12" t="str">
        <x:v>B20,B25,B14</x:v>
      </x:c>
      <x:c r="N29" s="24" t="n">
        <x:v>46347</x:v>
      </x:c>
      <x:c r="O29" s="24" t="n">
        <x:v>46356</x:v>
      </x:c>
      <x:c r="P29" s="12" t="str"/>
      <x:c r="Q29" s="12" t="str">
        <x:v>Prueba end-to-end principal del segundo servicio.</x:v>
      </x:c>
    </x:row>
    <x:row r="30">
      <x:c r="A30" s="130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24"/>
      <x:c r="O30" s="24"/>
      <x:c r="P30" s="12"/>
      <x:c r="Q30" s="12"/>
    </x:row>
    <x:row r="31">
      <x:c r="A31" s="130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24"/>
      <x:c r="O31" s="24"/>
      <x:c r="P31" s="12"/>
      <x:c r="Q31" s="12"/>
    </x:row>
    <x:row r="32">
      <x:c r="A32" s="130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24"/>
      <x:c r="O32" s="24"/>
      <x:c r="P32" s="12"/>
      <x:c r="Q32" s="12"/>
    </x:row>
    <x:row r="33">
      <x:c r="A33" s="130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24"/>
      <x:c r="O33" s="24"/>
      <x:c r="P33" s="12"/>
      <x:c r="Q33" s="12"/>
    </x:row>
    <x:row r="34">
      <x:c r="A34" s="130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24"/>
      <x:c r="O34" s="24"/>
      <x:c r="P34" s="12"/>
      <x:c r="Q34" s="12"/>
    </x:row>
    <x:row r="35">
      <x:c r="A35" s="130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24"/>
      <x:c r="O35" s="24"/>
      <x:c r="P35" s="12"/>
      <x:c r="Q35" s="12"/>
    </x:row>
    <x:row r="36">
      <x:c r="A36" s="130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24"/>
      <x:c r="O36" s="24"/>
      <x:c r="P36" s="12"/>
      <x:c r="Q36" s="12"/>
    </x:row>
    <x:row r="37">
      <x:c r="A37" s="130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24"/>
      <x:c r="O37" s="24"/>
      <x:c r="P37" s="12"/>
      <x:c r="Q37" s="12"/>
    </x:row>
    <x:row r="38">
      <x:c r="A38" s="130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24"/>
      <x:c r="O38" s="24"/>
      <x:c r="P38" s="12"/>
      <x:c r="Q38" s="12"/>
    </x:row>
    <x:row r="39">
      <x:c r="A39" s="130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24"/>
      <x:c r="O39" s="24"/>
      <x:c r="P39" s="12"/>
      <x:c r="Q39" s="12"/>
    </x:row>
    <x:row r="40">
      <x:c r="A40" s="130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24"/>
      <x:c r="O40" s="24"/>
      <x:c r="P40" s="12"/>
      <x:c r="Q40" s="12"/>
    </x:row>
    <x:row r="41">
      <x:c r="A41" s="130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24"/>
      <x:c r="O41" s="24"/>
      <x:c r="P41" s="12"/>
      <x:c r="Q41" s="12"/>
    </x:row>
    <x:row r="42">
      <x:c r="A42" s="130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24"/>
      <x:c r="O42" s="24"/>
      <x:c r="P42" s="12"/>
      <x:c r="Q42" s="12"/>
    </x:row>
    <x:row r="43">
      <x:c r="A43" s="130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24"/>
      <x:c r="O43" s="24"/>
      <x:c r="P43" s="12"/>
      <x:c r="Q43" s="12"/>
    </x:row>
    <x:row r="44">
      <x:c r="A44" s="130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24"/>
      <x:c r="O44" s="24"/>
      <x:c r="P44" s="12"/>
      <x:c r="Q44" s="12"/>
    </x:row>
    <x:row r="45">
      <x:c r="A45" s="130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24"/>
      <x:c r="O45" s="24"/>
      <x:c r="P45" s="12"/>
      <x:c r="Q45" s="12"/>
    </x:row>
    <x:row r="46">
      <x:c r="A46" s="130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24"/>
      <x:c r="O46" s="24"/>
      <x:c r="P46" s="12"/>
      <x:c r="Q46" s="12"/>
    </x:row>
    <x:row r="47">
      <x:c r="A47" s="130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24"/>
      <x:c r="O47" s="24"/>
      <x:c r="P47" s="12"/>
      <x:c r="Q47" s="12"/>
    </x:row>
    <x:row r="48">
      <x:c r="A48" s="130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24"/>
      <x:c r="O48" s="24"/>
      <x:c r="P48" s="12"/>
      <x:c r="Q48" s="12"/>
    </x:row>
    <x:row r="49">
      <x:c r="A49" s="130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24"/>
      <x:c r="O49" s="24"/>
      <x:c r="P49" s="12"/>
      <x:c r="Q49" s="12"/>
    </x:row>
    <x:row r="50">
      <x:c r="A50" s="130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24"/>
      <x:c r="O50" s="24"/>
      <x:c r="P50" s="12"/>
      <x:c r="Q50" s="12"/>
    </x:row>
    <x:row r="51">
      <x:c r="A51" s="130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24"/>
      <x:c r="O51" s="24"/>
      <x:c r="P51" s="12"/>
      <x:c r="Q51" s="12"/>
    </x:row>
    <x:row r="52">
      <x:c r="A52" s="130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24"/>
      <x:c r="O52" s="24"/>
      <x:c r="P52" s="12"/>
      <x:c r="Q52" s="12"/>
    </x:row>
    <x:row r="53">
      <x:c r="A53" s="130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24"/>
      <x:c r="O53" s="24"/>
      <x:c r="P53" s="12"/>
      <x:c r="Q53" s="12"/>
    </x:row>
    <x:row r="54">
      <x:c r="A54" s="130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24"/>
      <x:c r="O54" s="24"/>
      <x:c r="P54" s="12"/>
      <x:c r="Q54" s="12"/>
    </x:row>
    <x:row r="55">
      <x:c r="A55" s="130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24"/>
      <x:c r="O55" s="24"/>
      <x:c r="P55" s="12"/>
      <x:c r="Q55" s="12"/>
    </x:row>
    <x:row r="56">
      <x:c r="A56" s="130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24"/>
      <x:c r="O56" s="24"/>
      <x:c r="P56" s="12"/>
      <x:c r="Q56" s="12"/>
    </x:row>
    <x:row r="57">
      <x:c r="A57" s="130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24"/>
      <x:c r="O57" s="24"/>
      <x:c r="P57" s="12"/>
      <x:c r="Q57" s="12"/>
    </x:row>
    <x:row r="58">
      <x:c r="A58" s="130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24"/>
      <x:c r="O58" s="24"/>
      <x:c r="P58" s="12"/>
      <x:c r="Q58" s="12"/>
    </x:row>
    <x:row r="59">
      <x:c r="A59" s="130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24"/>
      <x:c r="O59" s="24"/>
      <x:c r="P59" s="12"/>
      <x:c r="Q59" s="12"/>
    </x:row>
    <x:row r="60">
      <x:c r="A60" s="130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24"/>
      <x:c r="O60" s="24"/>
      <x:c r="P60" s="12"/>
      <x:c r="Q60" s="12"/>
    </x:row>
    <x:row r="61">
      <x:c r="A61" s="130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24"/>
      <x:c r="O61" s="24"/>
      <x:c r="P61" s="12"/>
      <x:c r="Q61" s="12"/>
    </x:row>
    <x:row r="62">
      <x:c r="A62" s="130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24"/>
      <x:c r="O62" s="24"/>
      <x:c r="P62" s="12"/>
      <x:c r="Q62" s="12"/>
    </x:row>
    <x:row r="63">
      <x:c r="A63" s="130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24"/>
      <x:c r="O63" s="24"/>
      <x:c r="P63" s="12"/>
      <x:c r="Q63" s="12"/>
    </x:row>
    <x:row r="64">
      <x:c r="A64" s="130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24"/>
      <x:c r="O64" s="24"/>
      <x:c r="P64" s="12"/>
      <x:c r="Q64" s="12"/>
    </x:row>
    <x:row r="65">
      <x:c r="A65" s="130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24"/>
      <x:c r="O65" s="24"/>
      <x:c r="P65" s="12"/>
      <x:c r="Q65" s="12"/>
    </x:row>
    <x:row r="66">
      <x:c r="A66" s="130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24"/>
      <x:c r="O66" s="24"/>
      <x:c r="P66" s="12"/>
      <x:c r="Q66" s="12"/>
    </x:row>
    <x:row r="67">
      <x:c r="A67" s="130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24"/>
      <x:c r="O67" s="24"/>
      <x:c r="P67" s="12"/>
      <x:c r="Q67" s="12"/>
    </x:row>
    <x:row r="68">
      <x:c r="A68" s="130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24"/>
      <x:c r="O68" s="24"/>
      <x:c r="P68" s="12"/>
      <x:c r="Q68" s="12"/>
    </x:row>
    <x:row r="69">
      <x:c r="A69" s="130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24"/>
      <x:c r="O69" s="24"/>
      <x:c r="P69" s="12"/>
      <x:c r="Q69" s="12"/>
    </x:row>
    <x:row r="70">
      <x:c r="A70" s="130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24"/>
      <x:c r="O70" s="24"/>
      <x:c r="P70" s="12"/>
      <x:c r="Q70" s="12"/>
    </x:row>
    <x:row r="71">
      <x:c r="A71" s="130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24"/>
      <x:c r="O71" s="24"/>
      <x:c r="P71" s="12"/>
      <x:c r="Q71" s="12"/>
    </x:row>
    <x:row r="72">
      <x:c r="A72" s="130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24"/>
      <x:c r="O72" s="24"/>
      <x:c r="P72" s="12"/>
      <x:c r="Q72" s="12"/>
    </x:row>
    <x:row r="73">
      <x:c r="A73" s="130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24"/>
      <x:c r="O73" s="24"/>
      <x:c r="P73" s="12"/>
      <x:c r="Q73" s="12"/>
    </x:row>
    <x:row r="74">
      <x:c r="A74" s="130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24"/>
      <x:c r="O74" s="24"/>
      <x:c r="P74" s="12"/>
      <x:c r="Q74" s="12"/>
    </x:row>
    <x:row r="75">
      <x:c r="A75" s="130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24"/>
      <x:c r="O75" s="24"/>
      <x:c r="P75" s="12"/>
      <x:c r="Q75" s="12"/>
    </x:row>
    <x:row r="76">
      <x:c r="A76" s="130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24"/>
      <x:c r="O76" s="24"/>
      <x:c r="P76" s="12"/>
      <x:c r="Q76" s="12"/>
    </x:row>
    <x:row r="77">
      <x:c r="A77" s="130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24"/>
      <x:c r="O77" s="24"/>
      <x:c r="P77" s="12"/>
      <x:c r="Q77" s="12"/>
    </x:row>
    <x:row r="78">
      <x:c r="A78" s="130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24"/>
      <x:c r="O78" s="24"/>
      <x:c r="P78" s="12"/>
      <x:c r="Q78" s="12"/>
    </x:row>
    <x:row r="79">
      <x:c r="A79" s="130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24"/>
      <x:c r="O79" s="24"/>
      <x:c r="P79" s="12"/>
      <x:c r="Q79" s="12"/>
    </x:row>
    <x:row r="80">
      <x:c r="A80" s="130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24"/>
      <x:c r="O80" s="24"/>
      <x:c r="P80" s="12"/>
      <x:c r="Q80" s="12"/>
    </x:row>
    <x:row r="81">
      <x:c r="A81" s="130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24"/>
      <x:c r="O81" s="24"/>
      <x:c r="P81" s="12"/>
      <x:c r="Q81" s="12"/>
    </x:row>
    <x:row r="82">
      <x:c r="A82" s="130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24"/>
      <x:c r="O82" s="24"/>
      <x:c r="P82" s="12"/>
      <x:c r="Q82" s="12"/>
    </x:row>
    <x:row r="83">
      <x:c r="A83" s="130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24"/>
      <x:c r="O83" s="24"/>
      <x:c r="P83" s="12"/>
      <x:c r="Q83" s="12"/>
    </x:row>
    <x:row r="84">
      <x:c r="A84" s="130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24"/>
      <x:c r="O84" s="24"/>
      <x:c r="P84" s="12"/>
      <x:c r="Q84" s="12"/>
    </x:row>
    <x:row r="85">
      <x:c r="A85" s="130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24"/>
      <x:c r="O85" s="24"/>
      <x:c r="P85" s="12"/>
      <x:c r="Q85" s="12"/>
    </x:row>
    <x:row r="86">
      <x:c r="A86" s="130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24"/>
      <x:c r="O86" s="24"/>
      <x:c r="P86" s="12"/>
      <x:c r="Q86" s="12"/>
    </x:row>
    <x:row r="87">
      <x:c r="A87" s="130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24"/>
      <x:c r="O87" s="24"/>
      <x:c r="P87" s="12"/>
      <x:c r="Q87" s="12"/>
    </x:row>
    <x:row r="88">
      <x:c r="A88" s="130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24"/>
      <x:c r="O88" s="24"/>
      <x:c r="P88" s="12"/>
      <x:c r="Q88" s="12"/>
    </x:row>
    <x:row r="89">
      <x:c r="A89" s="130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24"/>
      <x:c r="O89" s="24"/>
      <x:c r="P89" s="12"/>
      <x:c r="Q89" s="12"/>
    </x:row>
    <x:row r="90">
      <x:c r="A90" s="130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24"/>
      <x:c r="O90" s="24"/>
      <x:c r="P90" s="12"/>
      <x:c r="Q90" s="12"/>
    </x:row>
    <x:row r="91">
      <x:c r="A91" s="130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24"/>
      <x:c r="O91" s="24"/>
      <x:c r="P91" s="12"/>
      <x:c r="Q91" s="12"/>
    </x:row>
    <x:row r="92">
      <x:c r="A92" s="130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24"/>
      <x:c r="O92" s="24"/>
      <x:c r="P92" s="12"/>
      <x:c r="Q92" s="12"/>
    </x:row>
    <x:row r="93">
      <x:c r="A93" s="130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24"/>
      <x:c r="O93" s="24"/>
      <x:c r="P93" s="12"/>
      <x:c r="Q93" s="12"/>
    </x:row>
    <x:row r="94">
      <x:c r="A94" s="130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24"/>
      <x:c r="O94" s="24"/>
      <x:c r="P94" s="12"/>
      <x:c r="Q94" s="12"/>
    </x:row>
    <x:row r="95">
      <x:c r="A95" s="130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24"/>
      <x:c r="O95" s="24"/>
      <x:c r="P95" s="12"/>
      <x:c r="Q95" s="12"/>
    </x:row>
    <x:row r="96">
      <x:c r="A96" s="130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24"/>
      <x:c r="O96" s="24"/>
      <x:c r="P96" s="12"/>
      <x:c r="Q96" s="12"/>
    </x:row>
    <x:row r="97">
      <x:c r="A97" s="130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24"/>
      <x:c r="O97" s="24"/>
      <x:c r="P97" s="12"/>
      <x:c r="Q97" s="12"/>
    </x:row>
    <x:row r="98">
      <x:c r="A98" s="130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24"/>
      <x:c r="O98" s="24"/>
      <x:c r="P98" s="12"/>
      <x:c r="Q98" s="12"/>
    </x:row>
    <x:row r="99">
      <x:c r="A99" s="130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24"/>
      <x:c r="O99" s="24"/>
      <x:c r="P99" s="12"/>
      <x:c r="Q99" s="12"/>
    </x:row>
    <x:row r="100">
      <x:c r="A100" s="130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24"/>
      <x:c r="O100" s="24"/>
      <x:c r="P100" s="12"/>
      <x:c r="Q100" s="12"/>
    </x:row>
    <x:row r="101">
      <x:c r="A101" s="130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24"/>
      <x:c r="O101" s="24"/>
      <x:c r="P101" s="12"/>
      <x:c r="Q101" s="12"/>
    </x:row>
    <x:row r="102">
      <x:c r="A102" s="130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24"/>
      <x:c r="O102" s="24"/>
      <x:c r="P102" s="12"/>
      <x:c r="Q102" s="12"/>
    </x:row>
    <x:row r="103">
      <x:c r="A103" s="130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24"/>
      <x:c r="O103" s="24"/>
      <x:c r="P103" s="12"/>
      <x:c r="Q103" s="12"/>
    </x:row>
    <x:row r="104">
      <x:c r="A104" s="130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24"/>
      <x:c r="O104" s="24"/>
      <x:c r="P104" s="12"/>
      <x:c r="Q104" s="12"/>
    </x:row>
    <x:row r="105">
      <x:c r="A105" s="130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24"/>
      <x:c r="O105" s="24"/>
      <x:c r="P105" s="12"/>
      <x:c r="Q105" s="12"/>
    </x:row>
    <x:row r="106">
      <x:c r="A106" s="130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24"/>
      <x:c r="O106" s="24"/>
      <x:c r="P106" s="12"/>
      <x:c r="Q106" s="12"/>
    </x:row>
    <x:row r="107">
      <x:c r="A107" s="130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24"/>
      <x:c r="O107" s="24"/>
      <x:c r="P107" s="12"/>
      <x:c r="Q107" s="12"/>
    </x:row>
    <x:row r="108">
      <x:c r="A108" s="130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24"/>
      <x:c r="O108" s="24"/>
      <x:c r="P108" s="12"/>
      <x:c r="Q108" s="12"/>
    </x:row>
    <x:row r="109">
      <x:c r="A109" s="130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24"/>
      <x:c r="O109" s="24"/>
      <x:c r="P109" s="12"/>
      <x:c r="Q109" s="12"/>
    </x:row>
    <x:row r="110">
      <x:c r="A110" s="130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24"/>
      <x:c r="O110" s="24"/>
      <x:c r="P110" s="12"/>
      <x:c r="Q110" s="12"/>
    </x:row>
    <x:row r="111">
      <x:c r="A111" s="130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24"/>
      <x:c r="O111" s="24"/>
      <x:c r="P111" s="12"/>
      <x:c r="Q111" s="12"/>
    </x:row>
    <x:row r="112">
      <x:c r="A112" s="130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24"/>
      <x:c r="O112" s="24"/>
      <x:c r="P112" s="12"/>
      <x:c r="Q112" s="12"/>
    </x:row>
    <x:row r="113">
      <x:c r="A113" s="130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24"/>
      <x:c r="O113" s="24"/>
      <x:c r="P113" s="12"/>
      <x:c r="Q113" s="12"/>
    </x:row>
    <x:row r="114">
      <x:c r="A114" s="130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24"/>
      <x:c r="O114" s="24"/>
      <x:c r="P114" s="12"/>
      <x:c r="Q114" s="12"/>
    </x:row>
    <x:row r="115">
      <x:c r="A115" s="130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24"/>
      <x:c r="O115" s="24"/>
      <x:c r="P115" s="12"/>
      <x:c r="Q115" s="12"/>
    </x:row>
    <x:row r="116">
      <x:c r="A116" s="130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24"/>
      <x:c r="O116" s="24"/>
      <x:c r="P116" s="12"/>
      <x:c r="Q116" s="12"/>
    </x:row>
    <x:row r="117">
      <x:c r="A117" s="130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24"/>
      <x:c r="O117" s="24"/>
      <x:c r="P117" s="12"/>
      <x:c r="Q117" s="12"/>
    </x:row>
    <x:row r="118">
      <x:c r="A118" s="130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24"/>
      <x:c r="O118" s="24"/>
      <x:c r="P118" s="12"/>
      <x:c r="Q118" s="12"/>
    </x:row>
    <x:row r="119">
      <x:c r="A119" s="130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24"/>
      <x:c r="O119" s="24"/>
      <x:c r="P119" s="12"/>
      <x:c r="Q119" s="12"/>
    </x:row>
    <x:row r="120">
      <x:c r="A120" s="130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24"/>
      <x:c r="O120" s="24"/>
      <x:c r="P120" s="12"/>
      <x:c r="Q120" s="12"/>
    </x:row>
    <x:row r="121">
      <x:c r="A121" s="130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24"/>
      <x:c r="O121" s="24"/>
      <x:c r="P121" s="12"/>
      <x:c r="Q121" s="12"/>
    </x:row>
    <x:row r="122">
      <x:c r="A122" s="130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24"/>
      <x:c r="O122" s="24"/>
      <x:c r="P122" s="12"/>
      <x:c r="Q122" s="12"/>
    </x:row>
    <x:row r="123">
      <x:c r="A123" s="130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24"/>
      <x:c r="O123" s="24"/>
      <x:c r="P123" s="12"/>
      <x:c r="Q123" s="12"/>
    </x:row>
    <x:row r="124">
      <x:c r="A124" s="130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24"/>
      <x:c r="O124" s="24"/>
      <x:c r="P124" s="12"/>
      <x:c r="Q124" s="12"/>
    </x:row>
    <x:row r="125">
      <x:c r="A125" s="130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24"/>
      <x:c r="O125" s="24"/>
      <x:c r="P125" s="12"/>
      <x:c r="Q125" s="12"/>
    </x:row>
    <x:row r="126">
      <x:c r="A126" s="130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24"/>
      <x:c r="O126" s="24"/>
      <x:c r="P126" s="12"/>
      <x:c r="Q126" s="12"/>
    </x:row>
    <x:row r="127">
      <x:c r="A127" s="130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24"/>
      <x:c r="O127" s="24"/>
      <x:c r="P127" s="12"/>
      <x:c r="Q127" s="12"/>
    </x:row>
    <x:row r="128">
      <x:c r="A128" s="130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24"/>
      <x:c r="O128" s="24"/>
      <x:c r="P128" s="12"/>
      <x:c r="Q128" s="12"/>
    </x:row>
    <x:row r="129">
      <x:c r="A129" s="130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24"/>
      <x:c r="O129" s="24"/>
      <x:c r="P129" s="12"/>
      <x:c r="Q129" s="12"/>
    </x:row>
    <x:row r="130">
      <x:c r="A130" s="130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24"/>
      <x:c r="O130" s="24"/>
      <x:c r="P130" s="12"/>
      <x:c r="Q130" s="12"/>
    </x:row>
    <x:row r="131">
      <x:c r="A131" s="130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24"/>
      <x:c r="O131" s="24"/>
      <x:c r="P131" s="12"/>
      <x:c r="Q131" s="12"/>
    </x:row>
    <x:row r="132">
      <x:c r="A132" s="130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24"/>
      <x:c r="O132" s="24"/>
      <x:c r="P132" s="12"/>
      <x:c r="Q132" s="12"/>
    </x:row>
    <x:row r="133">
      <x:c r="A133" s="130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24"/>
      <x:c r="O133" s="24"/>
      <x:c r="P133" s="12"/>
      <x:c r="Q133" s="12"/>
    </x:row>
    <x:row r="134">
      <x:c r="A134" s="130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24"/>
      <x:c r="O134" s="24"/>
      <x:c r="P134" s="12"/>
      <x:c r="Q134" s="12"/>
    </x:row>
    <x:row r="135">
      <x:c r="A135" s="130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24"/>
      <x:c r="O135" s="24"/>
      <x:c r="P135" s="12"/>
      <x:c r="Q135" s="12"/>
    </x:row>
    <x:row r="136">
      <x:c r="A136" s="130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24"/>
      <x:c r="O136" s="24"/>
      <x:c r="P136" s="12"/>
      <x:c r="Q136" s="12"/>
    </x:row>
    <x:row r="137">
      <x:c r="A137" s="130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24"/>
      <x:c r="O137" s="24"/>
      <x:c r="P137" s="12"/>
      <x:c r="Q137" s="12"/>
    </x:row>
    <x:row r="138">
      <x:c r="A138" s="130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24"/>
      <x:c r="O138" s="24"/>
      <x:c r="P138" s="12"/>
      <x:c r="Q138" s="12"/>
    </x:row>
    <x:row r="139">
      <x:c r="A139" s="130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24"/>
      <x:c r="O139" s="24"/>
      <x:c r="P139" s="12"/>
      <x:c r="Q139" s="12"/>
    </x:row>
    <x:row r="140">
      <x:c r="A140" s="130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24"/>
      <x:c r="O140" s="24"/>
      <x:c r="P140" s="12"/>
      <x:c r="Q140" s="12"/>
    </x:row>
    <x:row r="141">
      <x:c r="A141" s="130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24"/>
      <x:c r="O141" s="24"/>
      <x:c r="P141" s="12"/>
      <x:c r="Q141" s="12"/>
    </x:row>
    <x:row r="142">
      <x:c r="A142" s="130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24"/>
      <x:c r="O142" s="24"/>
      <x:c r="P142" s="12"/>
      <x:c r="Q142" s="12"/>
    </x:row>
    <x:row r="143">
      <x:c r="A143" s="130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24"/>
      <x:c r="O143" s="24"/>
      <x:c r="P143" s="12"/>
      <x:c r="Q143" s="12"/>
    </x:row>
    <x:row r="144">
      <x:c r="A144" s="130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24"/>
      <x:c r="O144" s="24"/>
      <x:c r="P144" s="12"/>
      <x:c r="Q144" s="12"/>
    </x:row>
    <x:row r="145">
      <x:c r="A145" s="130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24"/>
      <x:c r="O145" s="24"/>
      <x:c r="P145" s="12"/>
      <x:c r="Q145" s="12"/>
    </x:row>
    <x:row r="146">
      <x:c r="A146" s="130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24"/>
      <x:c r="O146" s="24"/>
      <x:c r="P146" s="12"/>
      <x:c r="Q146" s="12"/>
    </x:row>
    <x:row r="147">
      <x:c r="A147" s="130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24"/>
      <x:c r="O147" s="24"/>
      <x:c r="P147" s="12"/>
      <x:c r="Q147" s="12"/>
    </x:row>
    <x:row r="148">
      <x:c r="A148" s="130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24"/>
      <x:c r="O148" s="24"/>
      <x:c r="P148" s="12"/>
      <x:c r="Q148" s="12"/>
    </x:row>
    <x:row r="149">
      <x:c r="A149" s="130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24"/>
      <x:c r="O149" s="24"/>
      <x:c r="P149" s="12"/>
      <x:c r="Q149" s="12"/>
    </x:row>
    <x:row r="150">
      <x:c r="A150" s="130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24"/>
      <x:c r="O150" s="24"/>
      <x:c r="P150" s="12"/>
      <x:c r="Q150" s="12"/>
    </x:row>
    <x:row r="151">
      <x:c r="A151" s="130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24"/>
      <x:c r="O151" s="24"/>
      <x:c r="P151" s="12"/>
      <x:c r="Q151" s="12"/>
    </x:row>
    <x:row r="152">
      <x:c r="A152" s="130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24"/>
      <x:c r="O152" s="24"/>
      <x:c r="P152" s="12"/>
      <x:c r="Q152" s="12"/>
    </x:row>
    <x:row r="153">
      <x:c r="A153" s="130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24"/>
      <x:c r="O153" s="24"/>
      <x:c r="P153" s="12"/>
      <x:c r="Q153" s="12"/>
    </x:row>
    <x:row r="154">
      <x:c r="A154" s="130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24"/>
      <x:c r="O154" s="24"/>
      <x:c r="P154" s="12"/>
      <x:c r="Q154" s="12"/>
    </x:row>
    <x:row r="155">
      <x:c r="A155" s="130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24"/>
      <x:c r="O155" s="24"/>
      <x:c r="P155" s="12"/>
      <x:c r="Q155" s="12"/>
    </x:row>
    <x:row r="156">
      <x:c r="A156" s="130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24"/>
      <x:c r="O156" s="24"/>
      <x:c r="P156" s="12"/>
      <x:c r="Q156" s="12"/>
    </x:row>
    <x:row r="157">
      <x:c r="A157" s="130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24"/>
      <x:c r="O157" s="24"/>
      <x:c r="P157" s="12"/>
      <x:c r="Q157" s="12"/>
    </x:row>
    <x:row r="158">
      <x:c r="A158" s="130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24"/>
      <x:c r="O158" s="24"/>
      <x:c r="P158" s="12"/>
      <x:c r="Q158" s="12"/>
    </x:row>
    <x:row r="159">
      <x:c r="A159" s="130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24"/>
      <x:c r="O159" s="24"/>
      <x:c r="P159" s="12"/>
      <x:c r="Q159" s="12"/>
    </x:row>
    <x:row r="160">
      <x:c r="A160" s="130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24"/>
      <x:c r="O160" s="24"/>
      <x:c r="P160" s="12"/>
      <x:c r="Q160" s="12"/>
    </x:row>
    <x:row r="161">
      <x:c r="A161" s="130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24"/>
      <x:c r="O161" s="24"/>
      <x:c r="P161" s="12"/>
      <x:c r="Q161" s="12"/>
    </x:row>
    <x:row r="162">
      <x:c r="A162" s="130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24"/>
      <x:c r="O162" s="24"/>
      <x:c r="P162" s="12"/>
      <x:c r="Q162" s="12"/>
    </x:row>
    <x:row r="163">
      <x:c r="A163" s="130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24"/>
      <x:c r="O163" s="24"/>
      <x:c r="P163" s="12"/>
      <x:c r="Q163" s="12"/>
    </x:row>
    <x:row r="164">
      <x:c r="A164" s="130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24"/>
      <x:c r="O164" s="24"/>
      <x:c r="P164" s="12"/>
      <x:c r="Q164" s="12"/>
    </x:row>
    <x:row r="165">
      <x:c r="A165" s="130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24"/>
      <x:c r="O165" s="24"/>
      <x:c r="P165" s="12"/>
      <x:c r="Q165" s="12"/>
    </x:row>
    <x:row r="166">
      <x:c r="A166" s="130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24"/>
      <x:c r="O166" s="24"/>
      <x:c r="P166" s="12"/>
      <x:c r="Q166" s="12"/>
    </x:row>
    <x:row r="167">
      <x:c r="A167" s="130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24"/>
      <x:c r="O167" s="24"/>
      <x:c r="P167" s="12"/>
      <x:c r="Q167" s="12"/>
    </x:row>
    <x:row r="168">
      <x:c r="A168" s="130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24"/>
      <x:c r="O168" s="24"/>
      <x:c r="P168" s="12"/>
      <x:c r="Q168" s="12"/>
    </x:row>
    <x:row r="169">
      <x:c r="A169" s="130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24"/>
      <x:c r="O169" s="24"/>
      <x:c r="P169" s="12"/>
      <x:c r="Q169" s="12"/>
    </x:row>
    <x:row r="170">
      <x:c r="A170" s="130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24"/>
      <x:c r="O170" s="24"/>
      <x:c r="P170" s="12"/>
      <x:c r="Q170" s="12"/>
    </x:row>
    <x:row r="171">
      <x:c r="A171" s="130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24"/>
      <x:c r="O171" s="24"/>
      <x:c r="P171" s="12"/>
      <x:c r="Q171" s="12"/>
    </x:row>
    <x:row r="172">
      <x:c r="A172" s="130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24"/>
      <x:c r="O172" s="24"/>
      <x:c r="P172" s="12"/>
      <x:c r="Q172" s="12"/>
    </x:row>
    <x:row r="173">
      <x:c r="A173" s="130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24"/>
      <x:c r="O173" s="24"/>
      <x:c r="P173" s="12"/>
      <x:c r="Q173" s="12"/>
    </x:row>
    <x:row r="174">
      <x:c r="A174" s="130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24"/>
      <x:c r="O174" s="24"/>
      <x:c r="P174" s="12"/>
      <x:c r="Q174" s="12"/>
    </x:row>
    <x:row r="175">
      <x:c r="A175" s="130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24"/>
      <x:c r="O175" s="24"/>
      <x:c r="P175" s="12"/>
      <x:c r="Q175" s="12"/>
    </x:row>
    <x:row r="176">
      <x:c r="A176" s="130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24"/>
      <x:c r="O176" s="24"/>
      <x:c r="P176" s="12"/>
      <x:c r="Q176" s="12"/>
    </x:row>
    <x:row r="177">
      <x:c r="A177" s="130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24"/>
      <x:c r="O177" s="24"/>
      <x:c r="P177" s="12"/>
      <x:c r="Q177" s="12"/>
    </x:row>
    <x:row r="178">
      <x:c r="A178" s="130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24"/>
      <x:c r="O178" s="24"/>
      <x:c r="P178" s="12"/>
      <x:c r="Q178" s="12"/>
    </x:row>
    <x:row r="179">
      <x:c r="A179" s="130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24"/>
      <x:c r="O179" s="24"/>
      <x:c r="P179" s="12"/>
      <x:c r="Q179" s="12"/>
    </x:row>
    <x:row r="180">
      <x:c r="A180" s="130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24"/>
      <x:c r="O180" s="24"/>
      <x:c r="P180" s="12"/>
      <x:c r="Q180" s="12"/>
    </x:row>
    <x:row r="181">
      <x:c r="A181" s="130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24"/>
      <x:c r="O181" s="24"/>
      <x:c r="P181" s="12"/>
      <x:c r="Q181" s="12"/>
    </x:row>
    <x:row r="182">
      <x:c r="A182" s="130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24"/>
      <x:c r="O182" s="24"/>
      <x:c r="P182" s="12"/>
      <x:c r="Q182" s="12"/>
    </x:row>
    <x:row r="183">
      <x:c r="A183" s="130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24"/>
      <x:c r="O183" s="24"/>
      <x:c r="P183" s="12"/>
      <x:c r="Q183" s="12"/>
    </x:row>
    <x:row r="184">
      <x:c r="A184" s="130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24"/>
      <x:c r="O184" s="24"/>
      <x:c r="P184" s="12"/>
      <x:c r="Q184" s="12"/>
    </x:row>
    <x:row r="185">
      <x:c r="A185" s="130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24"/>
      <x:c r="O185" s="24"/>
      <x:c r="P185" s="12"/>
      <x:c r="Q185" s="12"/>
    </x:row>
    <x:row r="186">
      <x:c r="A186" s="130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24"/>
      <x:c r="O186" s="24"/>
      <x:c r="P186" s="12"/>
      <x:c r="Q186" s="12"/>
    </x:row>
    <x:row r="187">
      <x:c r="A187" s="130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24"/>
      <x:c r="O187" s="24"/>
      <x:c r="P187" s="12"/>
      <x:c r="Q187" s="12"/>
    </x:row>
    <x:row r="188">
      <x:c r="A188" s="130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24"/>
      <x:c r="O188" s="24"/>
      <x:c r="P188" s="12"/>
      <x:c r="Q188" s="12"/>
    </x:row>
    <x:row r="189">
      <x:c r="A189" s="130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24"/>
      <x:c r="O189" s="24"/>
      <x:c r="P189" s="12"/>
      <x:c r="Q189" s="12"/>
    </x:row>
    <x:row r="190">
      <x:c r="A190" s="130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24"/>
      <x:c r="O190" s="24"/>
      <x:c r="P190" s="12"/>
      <x:c r="Q190" s="12"/>
    </x:row>
    <x:row r="191">
      <x:c r="A191" s="130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24"/>
      <x:c r="O191" s="24"/>
      <x:c r="P191" s="12"/>
      <x:c r="Q191" s="12"/>
    </x:row>
    <x:row r="192">
      <x:c r="A192" s="130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24"/>
      <x:c r="O192" s="24"/>
      <x:c r="P192" s="12"/>
      <x:c r="Q192" s="12"/>
    </x:row>
    <x:row r="193">
      <x:c r="A193" s="130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24"/>
      <x:c r="O193" s="24"/>
      <x:c r="P193" s="12"/>
      <x:c r="Q193" s="12"/>
    </x:row>
    <x:row r="194">
      <x:c r="A194" s="130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24"/>
      <x:c r="O194" s="24"/>
      <x:c r="P194" s="12"/>
      <x:c r="Q194" s="12"/>
    </x:row>
    <x:row r="195">
      <x:c r="A195" s="130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24"/>
      <x:c r="O195" s="24"/>
      <x:c r="P195" s="12"/>
      <x:c r="Q195" s="12"/>
    </x:row>
    <x:row r="196">
      <x:c r="A196" s="130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24"/>
      <x:c r="O196" s="24"/>
      <x:c r="P196" s="12"/>
      <x:c r="Q196" s="12"/>
    </x:row>
    <x:row r="197">
      <x:c r="A197" s="130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24"/>
      <x:c r="O197" s="24"/>
      <x:c r="P197" s="12"/>
      <x:c r="Q197" s="12"/>
    </x:row>
    <x:row r="198">
      <x:c r="A198" s="130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24"/>
      <x:c r="O198" s="24"/>
      <x:c r="P198" s="12"/>
      <x:c r="Q198" s="12"/>
    </x:row>
    <x:row r="199">
      <x:c r="A199" s="130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24"/>
      <x:c r="O199" s="24"/>
      <x:c r="P199" s="12"/>
      <x:c r="Q199" s="12"/>
    </x:row>
    <x:row r="200">
      <x:c r="A200" s="130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24"/>
      <x:c r="O200" s="24"/>
      <x:c r="P200" s="12"/>
      <x:c r="Q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</x:row>
  </x:sheetData>
  <x:mergeCells>
    <x:mergeCell ref="A1:Q1"/>
  </x:mergeCells>
  <x:conditionalFormatting sqref="L4:L500">
    <x:cfRule type="expression" dxfId="8" priority="1">
      <x:formula>L4="Hecho"</x:formula>
    </x:cfRule>
    <x:cfRule type="expression" dxfId="9" priority="2">
      <x:formula>L4="En progreso"</x:formula>
    </x:cfRule>
    <x:cfRule type="expression" dxfId="10" priority="3">
      <x:formula>L4="Bloqueado"</x:formula>
    </x:cfRule>
    <x:cfRule type="expression" dxfId="11" priority="4">
      <x:formula>L4="Pendiente"</x:formula>
    </x:cfRule>
    <x:cfRule type="expression" dxfId="12" priority="5">
      <x:formula>L4="Descartado"</x:formula>
    </x:cfRule>
  </x:conditionalFormatting>
  <x:conditionalFormatting sqref="L28:L29">
    <x:cfRule type="expression" dxfId="18" priority="6">
      <x:formula>L28="Hecho"</x:formula>
    </x:cfRule>
    <x:cfRule type="expression" dxfId="19" priority="7">
      <x:formula>L28="En progreso"</x:formula>
    </x:cfRule>
    <x:cfRule type="expression" dxfId="20" priority="8">
      <x:formula>L28="Bloqueado"</x:formula>
    </x:cfRule>
    <x:cfRule type="expression" dxfId="21" priority="9">
      <x:formula>L28="Pendiente"</x:formula>
    </x:cfRule>
  </x:conditionalFormatting>
  <x:dataValidations count="12">
    <x:dataValidation type="list" sqref="C4:C500">
      <x:formula1>Listas!$D$2:$D$6</x:formula1>
    </x:dataValidation>
    <x:dataValidation type="list" sqref="G4:G500">
      <x:formula1>Listas!$B$2:$B$5</x:formula1>
    </x:dataValidation>
    <x:dataValidation type="list" sqref="I4:I500">
      <x:formula1>Listas!$H$2:$H$7</x:formula1>
    </x:dataValidation>
    <x:dataValidation type="list" sqref="J4:J500">
      <x:formula1>Listas!$C$2:$C$5</x:formula1>
    </x:dataValidation>
    <x:dataValidation type="list" sqref="K4:K500">
      <x:formula1>Listas!$G$2:$G$6</x:formula1>
    </x:dataValidation>
    <x:dataValidation type="list" sqref="L4:L500">
      <x:formula1>Listas!$A$2:$A$6</x:formula1>
    </x:dataValidation>
    <x:dataValidation type="list" sqref="C28:C29">
      <x:formula1>Listas!$D$2:$D$6</x:formula1>
    </x:dataValidation>
    <x:dataValidation type="list" sqref="G28:G29">
      <x:formula1>Listas!$B$2:$B$5</x:formula1>
    </x:dataValidation>
    <x:dataValidation type="list" sqref="I28:I29">
      <x:formula1>Listas!$H$2:$H$7</x:formula1>
    </x:dataValidation>
    <x:dataValidation type="list" sqref="J28:J29">
      <x:formula1>Listas!$C$2:$C$5</x:formula1>
    </x:dataValidation>
    <x:dataValidation type="list" sqref="K28:K29">
      <x:formula1>Listas!$G$2:$G$6</x:formula1>
    </x:dataValidation>
    <x:dataValidation type="list" sqref="L28:L29">
      <x:formula1>Listas!$A$2:$A$6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ffa289bc2b4d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16" hidden="0" customWidth="1"/>
    <x:col min="5" max="5" width="22" hidden="0" customWidth="1"/>
    <x:col min="6" max="6" width="38" hidden="0" customWidth="1"/>
    <x:col min="7" max="7" width="32" hidden="0" customWidth="1"/>
    <x:col min="8" max="8" width="14" hidden="0" customWidth="1"/>
  </x:cols>
  <x:sheetData>
    <x:row r="1" ht="28" customHeight="1">
      <x:c r="A1" s="17" t="str">
        <x:v>Matriz de Trazabilidad</x:v>
      </x:c>
      <x:c r="B1" s="17"/>
      <x:c r="C1" s="17"/>
      <x:c r="D1" s="17"/>
      <x:c r="E1" s="17"/>
      <x:c r="F1" s="17"/>
      <x:c r="G1" s="17"/>
      <x:c r="H1" s="17"/>
    </x:row>
    <x:row r="2">
      <x:c r="A2" s="128"/>
    </x:row>
    <x:row r="3">
      <x:c r="A3" s="6" t="str">
        <x:v>ID</x:v>
      </x:c>
      <x:c r="B3" s="6" t="str">
        <x:v>Aspecto del problema</x:v>
      </x:c>
      <x:c r="C3" s="6" t="str">
        <x:v>Objetivo</x:v>
      </x:c>
      <x:c r="D3" s="6" t="str">
        <x:v>Requerimiento</x:v>
      </x:c>
      <x:c r="E3" s="6" t="str">
        <x:v>Backlog relacionado</x:v>
      </x:c>
      <x:c r="F3" s="6" t="str">
        <x:v>Criterio de validación</x:v>
      </x:c>
      <x:c r="G3" s="6" t="str">
        <x:v>Evidencia esperada</x:v>
      </x:c>
      <x:c r="H3" s="6" t="str">
        <x:v>Estado</x:v>
      </x:c>
    </x:row>
    <x:row r="4">
      <x:c r="A4" s="130" t="str">
        <x:v>T01</x:v>
      </x:c>
      <x:c r="B4" s="12" t="str">
        <x:v>Compatibilidad con ecosistema OpenStack</x:v>
      </x:c>
      <x:c r="C4" s="12" t="str">
        <x:v>OE1, OE4</x:v>
      </x:c>
      <x:c r="D4" s="12" t="str">
        <x:v>RF02</x:v>
      </x:c>
      <x:c r="E4" s="12" t="str">
        <x:v>B04, B05, B06</x:v>
      </x:c>
      <x:c r="F4" s="12" t="str">
        <x:v>Las rutas y flujos seleccionados se comportan de forma compatible.</x:v>
      </x:c>
      <x:c r="G4" s="12" t="str">
        <x:v>Pruebas de API y documentación.</x:v>
      </x:c>
      <x:c r="H4" s="12" t="str">
        <x:v>En progreso</x:v>
      </x:c>
    </x:row>
    <x:row r="5">
      <x:c r="A5" s="130" t="str">
        <x:v>T02</x:v>
      </x:c>
      <x:c r="B5" s="12" t="str">
        <x:v>Gestión de recursos</x:v>
      </x:c>
      <x:c r="C5" s="12" t="str">
        <x:v>OE3, OE4</x:v>
      </x:c>
      <x:c r="D5" s="12" t="str">
        <x:v>RF03</x:v>
      </x:c>
      <x:c r="E5" s="12" t="str">
        <x:v>B07</x:v>
      </x:c>
      <x:c r="F5" s="12" t="str">
        <x:v>Los casos priorizados de providers e inventories funcionan correctamente.</x:v>
      </x:c>
      <x:c r="G5" s="12" t="str">
        <x:v>Pruebas de Resource Providers e Inventories.</x:v>
      </x:c>
      <x:c r="H5" s="12" t="str">
        <x:v>Pendiente</x:v>
      </x:c>
    </x:row>
    <x:row r="6">
      <x:c r="A6" s="130" t="str">
        <x:v>T03</x:v>
      </x:c>
      <x:c r="B6" s="12" t="str">
        <x:v>Asignación de recursos</x:v>
      </x:c>
      <x:c r="C6" s="12" t="str">
        <x:v>OE3, OE4</x:v>
      </x:c>
      <x:c r="D6" s="12" t="str">
        <x:v>RF05</x:v>
      </x:c>
      <x:c r="E6" s="12" t="str">
        <x:v>B09</x:v>
      </x:c>
      <x:c r="F6" s="12" t="str">
        <x:v>Las allocations se gestionan según el comportamiento esperado.</x:v>
      </x:c>
      <x:c r="G6" s="12" t="str">
        <x:v>Pruebas de allocations.</x:v>
      </x:c>
      <x:c r="H6" s="12" t="str">
        <x:v>Pendiente</x:v>
      </x:c>
    </x:row>
    <x:row r="7">
      <x:c r="A7" s="130" t="str">
        <x:v>T04</x:v>
      </x:c>
      <x:c r="B7" s="12" t="str">
        <x:v>Integración real con OpenStack</x:v>
      </x:c>
      <x:c r="C7" s="12" t="str">
        <x:v>OE4</x:v>
      </x:c>
      <x:c r="D7" s="12" t="str">
        <x:v>RF09</x:v>
      </x:c>
      <x:c r="E7" s="12" t="str">
        <x:v>B13, B14</x:v>
      </x:c>
      <x:c r="F7" s="12" t="str">
        <x:v>OpenStack utiliza la reimplementación y crea una instancia correctamente.</x:v>
      </x:c>
      <x:c r="G7" s="12" t="str">
        <x:v>Creación exitosa de una instancia.</x:v>
      </x:c>
      <x:c r="H7" s="12" t="str">
        <x:v>Pendiente</x:v>
      </x:c>
    </x:row>
    <x:row r="8">
      <x:c r="A8" s="130" t="str">
        <x:v>T05</x:v>
      </x:c>
      <x:c r="B8" s="12" t="str">
        <x:v>Rendimiento</x:v>
      </x:c>
      <x:c r="C8" s="12" t="str">
        <x:v>OE5</x:v>
      </x:c>
      <x:c r="D8" s="12" t="str">
        <x:v>RNF02</x:v>
      </x:c>
      <x:c r="E8" s="12" t="str">
        <x:v>B16, B17</x:v>
      </x:c>
      <x:c r="F8" s="12" t="str">
        <x:v>Se obtienen mediciones comparables bajo el mismo protocolo.</x:v>
      </x:c>
      <x:c r="G8" s="12" t="str">
        <x:v>Resultados de benchmark.</x:v>
      </x:c>
      <x:c r="H8" s="12" t="str">
        <x:v>Pendiente</x:v>
      </x:c>
    </x:row>
    <x:row r="9">
      <x:c r="A9" s="130" t="str">
        <x:v>T06</x:v>
      </x:c>
      <x:c r="B9" s="12" t="str">
        <x:v>Consumo de recursos</x:v>
      </x:c>
      <x:c r="C9" s="12" t="str">
        <x:v>OE5</x:v>
      </x:c>
      <x:c r="D9" s="12" t="str">
        <x:v>RNF03</x:v>
      </x:c>
      <x:c r="E9" s="12" t="str">
        <x:v>B16, B18</x:v>
      </x:c>
      <x:c r="F9" s="12" t="str">
        <x:v>Se obtienen mediciones comparables de CPU y memoria.</x:v>
      </x:c>
      <x:c r="G9" s="12" t="str">
        <x:v>Mediciones de CPU y RAM.</x:v>
      </x:c>
      <x:c r="H9" s="12" t="str">
        <x:v>Pendiente</x:v>
      </x:c>
    </x:row>
    <x:row r="10">
      <x:c r="A10" s="130" t="str">
        <x:v>T07</x:v>
      </x:c>
      <x:c r="B10" s="12" t="str">
        <x:v>Reproducibilidad</x:v>
      </x:c>
      <x:c r="C10" s="12" t="str">
        <x:v>OE2, OE5</x:v>
      </x:c>
      <x:c r="D10" s="12" t="str">
        <x:v>RNF05</x:v>
      </x:c>
      <x:c r="E10" s="12" t="str">
        <x:v>B02, B03, B21, B22</x:v>
      </x:c>
      <x:c r="F10" s="12" t="str">
        <x:v>El entorno y las pruebas pueden reproducirse siguiendo documentación y scripts.</x:v>
      </x:c>
      <x:c r="G10" s="12" t="str">
        <x:v>Documentación y scripts.</x:v>
      </x:c>
      <x:c r="H10" s="12" t="str">
        <x:v>En progreso</x:v>
      </x:c>
    </x:row>
    <x:row r="11">
      <x:c r="A11" s="130" t="str">
        <x:v>T08</x:v>
      </x:c>
      <x:c r="B11" s="12" t="str">
        <x:v>Gestión y consumo de imágenes OpenStack</x:v>
      </x:c>
      <x:c r="C11" s="12" t="str">
        <x:v>OE1, OE3, OE4</x:v>
      </x:c>
      <x:c r="D11" s="12" t="str">
        <x:v>RF10</x:v>
      </x:c>
      <x:c r="E11" s="12" t="str">
        <x:v>B19, B20, B25, B26</x:v>
      </x:c>
      <x:c r="F11" s="12" t="str">
        <x:v>La reimplementación de Glance gestiona el ciclo mínimo de una imagen y Nova puede consumirla para crear una instancia.</x:v>
      </x:c>
      <x:c r="G11" s="12" t="str">
        <x:v>Pruebas de Image API, carga/descarga y boot de VM desde imagen.</x:v>
      </x:c>
      <x:c r="H11" s="12" t="str">
        <x:v>Pendiente</x:v>
      </x:c>
    </x:row>
    <x:row r="12">
      <x:c r="A12" s="130"/>
      <x:c r="B12" s="12"/>
      <x:c r="C12" s="12"/>
      <x:c r="D12" s="12"/>
      <x:c r="E12" s="12"/>
      <x:c r="F12" s="12"/>
      <x:c r="G12" s="12"/>
      <x:c r="H12" s="12"/>
    </x:row>
    <x:row r="13">
      <x:c r="A13" s="28" t="str">
        <x:v>Trazabilidad Requerimientos ↔ Objetivos</x:v>
      </x:c>
      <x:c r="B13" s="28"/>
      <x:c r="C13" s="28"/>
      <x:c r="D13" s="28"/>
      <x:c r="E13" s="28"/>
      <x:c r="F13" s="28"/>
      <x:c r="G13" s="12"/>
      <x:c r="H13" s="12"/>
    </x:row>
    <x:row r="14">
      <x:c r="A14" s="6" t="str">
        <x:v>Requerimiento</x:v>
      </x:c>
      <x:c r="B14" s="6" t="str">
        <x:v>OE1</x:v>
      </x:c>
      <x:c r="C14" s="6" t="str">
        <x:v>OE2</x:v>
      </x:c>
      <x:c r="D14" s="6" t="str">
        <x:v>OE3</x:v>
      </x:c>
      <x:c r="E14" s="6" t="str">
        <x:v>OE4</x:v>
      </x:c>
      <x:c r="F14" s="6" t="str">
        <x:v>OE5</x:v>
      </x:c>
      <x:c r="G14" s="12"/>
      <x:c r="H14" s="12"/>
    </x:row>
    <x:row r="15">
      <x:c r="A15" s="134" t="str">
        <x:v>RF01</x:v>
      </x:c>
      <x:c r="B15" s="34" t="str"/>
      <x:c r="C15" s="34" t="str">
        <x:v>X</x:v>
      </x:c>
      <x:c r="D15" s="34" t="str"/>
      <x:c r="E15" s="34" t="str">
        <x:v>X</x:v>
      </x:c>
      <x:c r="F15" s="34" t="str"/>
      <x:c r="G15" s="12"/>
      <x:c r="H15" s="12"/>
    </x:row>
    <x:row r="16">
      <x:c r="A16" s="134" t="str">
        <x:v>RF02</x:v>
      </x:c>
      <x:c r="B16" s="34" t="str">
        <x:v>X</x:v>
      </x:c>
      <x:c r="C16" s="34" t="str"/>
      <x:c r="D16" s="34" t="str">
        <x:v>X</x:v>
      </x:c>
      <x:c r="E16" s="34" t="str">
        <x:v>X</x:v>
      </x:c>
      <x:c r="F16" s="34" t="str"/>
      <x:c r="G16" s="12"/>
      <x:c r="H16" s="12"/>
    </x:row>
    <x:row r="17">
      <x:c r="A17" s="134" t="str">
        <x:v>RF03</x:v>
      </x:c>
      <x:c r="B17" s="34" t="str"/>
      <x:c r="C17" s="34" t="str"/>
      <x:c r="D17" s="34" t="str">
        <x:v>X</x:v>
      </x:c>
      <x:c r="E17" s="34" t="str">
        <x:v>X</x:v>
      </x:c>
      <x:c r="F17" s="34" t="str"/>
      <x:c r="G17" s="12"/>
      <x:c r="H17" s="12"/>
    </x:row>
    <x:row r="18">
      <x:c r="A18" s="134" t="str">
        <x:v>RF04</x:v>
      </x:c>
      <x:c r="B18" s="34" t="str"/>
      <x:c r="C18" s="34" t="str"/>
      <x:c r="D18" s="34" t="str">
        <x:v>X</x:v>
      </x:c>
      <x:c r="E18" s="34" t="str">
        <x:v>X</x:v>
      </x:c>
      <x:c r="F18" s="34" t="str"/>
      <x:c r="G18" s="12"/>
      <x:c r="H18" s="12"/>
    </x:row>
    <x:row r="19">
      <x:c r="A19" s="134" t="str">
        <x:v>RF05</x:v>
      </x:c>
      <x:c r="B19" s="34" t="str"/>
      <x:c r="C19" s="34" t="str"/>
      <x:c r="D19" s="34" t="str">
        <x:v>X</x:v>
      </x:c>
      <x:c r="E19" s="34" t="str">
        <x:v>X</x:v>
      </x:c>
      <x:c r="F19" s="34" t="str"/>
      <x:c r="G19" s="12"/>
      <x:c r="H19" s="12"/>
    </x:row>
    <x:row r="20">
      <x:c r="A20" s="134" t="str">
        <x:v>RF06</x:v>
      </x:c>
      <x:c r="B20" s="34" t="str"/>
      <x:c r="C20" s="34" t="str"/>
      <x:c r="D20" s="34" t="str">
        <x:v>X</x:v>
      </x:c>
      <x:c r="E20" s="34" t="str">
        <x:v>X</x:v>
      </x:c>
      <x:c r="F20" s="34" t="str"/>
      <x:c r="G20" s="12"/>
      <x:c r="H20" s="12"/>
    </x:row>
    <x:row r="21">
      <x:c r="A21" s="134" t="str">
        <x:v>RF07</x:v>
      </x:c>
      <x:c r="B21" s="34" t="str"/>
      <x:c r="C21" s="34" t="str"/>
      <x:c r="D21" s="34" t="str">
        <x:v>X</x:v>
      </x:c>
      <x:c r="E21" s="34" t="str">
        <x:v>X</x:v>
      </x:c>
      <x:c r="F21" s="34" t="str"/>
      <x:c r="G21" s="12"/>
      <x:c r="H21" s="12"/>
    </x:row>
    <x:row r="22">
      <x:c r="A22" s="134" t="str">
        <x:v>RF08</x:v>
      </x:c>
      <x:c r="B22" s="34" t="str"/>
      <x:c r="C22" s="34" t="str"/>
      <x:c r="D22" s="34" t="str">
        <x:v>X</x:v>
      </x:c>
      <x:c r="E22" s="34" t="str">
        <x:v>X</x:v>
      </x:c>
      <x:c r="F22" s="34" t="str"/>
      <x:c r="G22" s="12"/>
      <x:c r="H22" s="12"/>
    </x:row>
    <x:row r="23">
      <x:c r="A23" s="134" t="str">
        <x:v>RF09</x:v>
      </x:c>
      <x:c r="B23" s="34" t="str"/>
      <x:c r="C23" s="34" t="str"/>
      <x:c r="D23" s="34" t="str"/>
      <x:c r="E23" s="34" t="str">
        <x:v>X</x:v>
      </x:c>
      <x:c r="F23" s="34" t="str"/>
      <x:c r="G23" s="12"/>
      <x:c r="H23" s="12"/>
    </x:row>
    <x:row r="24">
      <x:c r="A24" s="134" t="str">
        <x:v>RF10</x:v>
      </x:c>
      <x:c r="B24" s="34" t="str">
        <x:v>X</x:v>
      </x:c>
      <x:c r="C24" s="34" t="str"/>
      <x:c r="D24" s="34" t="str">
        <x:v>X</x:v>
      </x:c>
      <x:c r="E24" s="34" t="str">
        <x:v>X</x:v>
      </x:c>
      <x:c r="F24" s="34" t="str"/>
      <x:c r="G24" s="12"/>
      <x:c r="H24" s="12"/>
    </x:row>
    <x:row r="25">
      <x:c r="A25" s="134" t="str">
        <x:v>RF11</x:v>
      </x:c>
      <x:c r="B25" s="34" t="str"/>
      <x:c r="C25" s="34" t="str"/>
      <x:c r="D25" s="34" t="str"/>
      <x:c r="E25" s="34" t="str">
        <x:v>X</x:v>
      </x:c>
      <x:c r="F25" s="34" t="str">
        <x:v>X</x:v>
      </x:c>
      <x:c r="G25" s="12"/>
      <x:c r="H25" s="12"/>
    </x:row>
    <x:row r="26">
      <x:c r="A26" s="134" t="str">
        <x:v>RF12</x:v>
      </x:c>
      <x:c r="B26" s="34" t="str"/>
      <x:c r="C26" s="34" t="str"/>
      <x:c r="D26" s="34" t="str"/>
      <x:c r="E26" s="34" t="str">
        <x:v>X</x:v>
      </x:c>
      <x:c r="F26" s="34" t="str">
        <x:v>X</x:v>
      </x:c>
      <x:c r="G26" s="12"/>
      <x:c r="H26" s="12"/>
    </x:row>
    <x:row r="27">
      <x:c r="A27" s="134" t="str">
        <x:v>RNF01</x:v>
      </x:c>
      <x:c r="B27" s="34" t="str"/>
      <x:c r="C27" s="34" t="str"/>
      <x:c r="D27" s="34" t="str">
        <x:v>X</x:v>
      </x:c>
      <x:c r="E27" s="34" t="str">
        <x:v>X</x:v>
      </x:c>
      <x:c r="F27" s="34" t="str"/>
      <x:c r="G27" s="12"/>
      <x:c r="H27" s="12"/>
    </x:row>
    <x:row r="28">
      <x:c r="A28" s="134" t="str">
        <x:v>RNF02</x:v>
      </x:c>
      <x:c r="B28" s="34" t="str"/>
      <x:c r="C28" s="34" t="str"/>
      <x:c r="D28" s="34" t="str"/>
      <x:c r="E28" s="34" t="str"/>
      <x:c r="F28" s="34" t="str">
        <x:v>X</x:v>
      </x:c>
      <x:c r="G28" s="12"/>
      <x:c r="H28" s="12"/>
    </x:row>
    <x:row r="29">
      <x:c r="A29" s="134" t="str">
        <x:v>RNF03</x:v>
      </x:c>
      <x:c r="B29" s="34" t="str"/>
      <x:c r="C29" s="34" t="str"/>
      <x:c r="D29" s="34" t="str"/>
      <x:c r="E29" s="34" t="str"/>
      <x:c r="F29" s="34" t="str">
        <x:v>X</x:v>
      </x:c>
      <x:c r="G29" s="12"/>
      <x:c r="H29" s="12"/>
    </x:row>
    <x:row r="30">
      <x:c r="A30" s="134" t="str">
        <x:v>RNF04</x:v>
      </x:c>
      <x:c r="B30" s="34" t="str"/>
      <x:c r="C30" s="34" t="str"/>
      <x:c r="D30" s="34" t="str"/>
      <x:c r="E30" s="34" t="str">
        <x:v>X</x:v>
      </x:c>
      <x:c r="F30" s="34" t="str">
        <x:v>X</x:v>
      </x:c>
      <x:c r="G30" s="12"/>
      <x:c r="H30" s="12"/>
    </x:row>
    <x:row r="31">
      <x:c r="A31" s="134" t="str">
        <x:v>RNF05</x:v>
      </x:c>
      <x:c r="B31" s="34" t="str"/>
      <x:c r="C31" s="34" t="str">
        <x:v>X</x:v>
      </x:c>
      <x:c r="D31" s="34" t="str"/>
      <x:c r="E31" s="34" t="str"/>
      <x:c r="F31" s="34" t="str">
        <x:v>X</x:v>
      </x:c>
      <x:c r="G31" s="12"/>
      <x:c r="H31" s="12"/>
    </x:row>
    <x:row r="32">
      <x:c r="A32" s="134" t="str">
        <x:v>RNF06</x:v>
      </x:c>
      <x:c r="B32" s="34" t="str"/>
      <x:c r="C32" s="34" t="str"/>
      <x:c r="D32" s="34" t="str">
        <x:v>X</x:v>
      </x:c>
      <x:c r="E32" s="34" t="str"/>
      <x:c r="F32" s="34" t="str"/>
      <x:c r="G32" s="12"/>
      <x:c r="H32" s="12"/>
    </x:row>
    <x:row r="33">
      <x:c r="A33" s="134" t="str">
        <x:v>RNF07</x:v>
      </x:c>
      <x:c r="B33" s="34" t="str"/>
      <x:c r="C33" s="34" t="str"/>
      <x:c r="D33" s="34" t="str">
        <x:v>X</x:v>
      </x:c>
      <x:c r="E33" s="34" t="str">
        <x:v>X</x:v>
      </x:c>
      <x:c r="F33" s="34" t="str"/>
      <x:c r="G33" s="12"/>
      <x:c r="H33" s="12"/>
    </x:row>
    <x:row r="34">
      <x:c r="A34" s="130"/>
      <x:c r="B34" s="12"/>
      <x:c r="C34" s="12"/>
      <x:c r="D34" s="12"/>
      <x:c r="E34" s="12"/>
      <x:c r="F34" s="12"/>
      <x:c r="G34" s="12"/>
      <x:c r="H34" s="12"/>
    </x:row>
    <x:row r="35">
      <x:c r="A35" s="130"/>
      <x:c r="B35" s="12"/>
      <x:c r="C35" s="12"/>
      <x:c r="D35" s="12"/>
      <x:c r="E35" s="12"/>
      <x:c r="F35" s="12"/>
      <x:c r="G35" s="12"/>
      <x:c r="H35" s="12"/>
    </x:row>
    <x:row r="36">
      <x:c r="A36" s="130"/>
      <x:c r="B36" s="12"/>
      <x:c r="C36" s="12"/>
      <x:c r="D36" s="12"/>
      <x:c r="E36" s="12"/>
      <x:c r="F36" s="12"/>
      <x:c r="G36" s="12"/>
      <x:c r="H36" s="12"/>
    </x:row>
    <x:row r="37">
      <x:c r="A37" s="130"/>
      <x:c r="B37" s="12"/>
      <x:c r="C37" s="12"/>
      <x:c r="D37" s="12"/>
      <x:c r="E37" s="12"/>
      <x:c r="F37" s="12"/>
      <x:c r="G37" s="12"/>
      <x:c r="H37" s="12"/>
    </x:row>
    <x:row r="38">
      <x:c r="A38" s="130"/>
      <x:c r="B38" s="12"/>
      <x:c r="C38" s="12"/>
      <x:c r="D38" s="12"/>
      <x:c r="E38" s="12"/>
      <x:c r="F38" s="12"/>
      <x:c r="G38" s="12"/>
      <x:c r="H38" s="12"/>
    </x:row>
    <x:row r="39">
      <x:c r="A39" s="130"/>
      <x:c r="B39" s="12"/>
      <x:c r="C39" s="12"/>
      <x:c r="D39" s="12"/>
      <x:c r="E39" s="12"/>
      <x:c r="F39" s="12"/>
      <x:c r="G39" s="12"/>
      <x:c r="H39" s="12"/>
    </x:row>
    <x:row r="40">
      <x:c r="A40" s="130"/>
      <x:c r="B40" s="12"/>
      <x:c r="C40" s="12"/>
      <x:c r="D40" s="12"/>
      <x:c r="E40" s="12"/>
      <x:c r="F40" s="12"/>
      <x:c r="G40" s="12"/>
      <x:c r="H40" s="12"/>
    </x:row>
    <x:row r="41">
      <x:c r="A41" s="130"/>
      <x:c r="B41" s="12"/>
      <x:c r="C41" s="12"/>
      <x:c r="D41" s="12"/>
      <x:c r="E41" s="12"/>
      <x:c r="F41" s="12"/>
      <x:c r="G41" s="12"/>
      <x:c r="H41" s="12"/>
    </x:row>
    <x:row r="42">
      <x:c r="A42" s="130"/>
      <x:c r="B42" s="12"/>
      <x:c r="C42" s="12"/>
      <x:c r="D42" s="12"/>
      <x:c r="E42" s="12"/>
      <x:c r="F42" s="12"/>
      <x:c r="G42" s="12"/>
      <x:c r="H42" s="12"/>
    </x:row>
    <x:row r="43">
      <x:c r="A43" s="130"/>
      <x:c r="B43" s="12"/>
      <x:c r="C43" s="12"/>
      <x:c r="D43" s="12"/>
      <x:c r="E43" s="12"/>
      <x:c r="F43" s="12"/>
      <x:c r="G43" s="12"/>
      <x:c r="H43" s="12"/>
    </x:row>
    <x:row r="44">
      <x:c r="A44" s="130"/>
      <x:c r="B44" s="12"/>
      <x:c r="C44" s="12"/>
      <x:c r="D44" s="12"/>
      <x:c r="E44" s="12"/>
      <x:c r="F44" s="12"/>
      <x:c r="G44" s="12"/>
      <x:c r="H44" s="12"/>
    </x:row>
    <x:row r="45">
      <x:c r="A45" s="130"/>
      <x:c r="B45" s="12"/>
      <x:c r="C45" s="12"/>
      <x:c r="D45" s="12"/>
      <x:c r="E45" s="12"/>
      <x:c r="F45" s="12"/>
      <x:c r="G45" s="12"/>
      <x:c r="H45" s="12"/>
    </x:row>
    <x:row r="46">
      <x:c r="A46" s="130"/>
      <x:c r="B46" s="12"/>
      <x:c r="C46" s="12"/>
      <x:c r="D46" s="12"/>
      <x:c r="E46" s="12"/>
      <x:c r="F46" s="12"/>
      <x:c r="G46" s="12"/>
      <x:c r="H46" s="12"/>
    </x:row>
    <x:row r="47">
      <x:c r="A47" s="130"/>
      <x:c r="B47" s="12"/>
      <x:c r="C47" s="12"/>
      <x:c r="D47" s="12"/>
      <x:c r="E47" s="12"/>
      <x:c r="F47" s="12"/>
      <x:c r="G47" s="12"/>
      <x:c r="H47" s="12"/>
    </x:row>
    <x:row r="48">
      <x:c r="A48" s="130"/>
      <x:c r="B48" s="12"/>
      <x:c r="C48" s="12"/>
      <x:c r="D48" s="12"/>
      <x:c r="E48" s="12"/>
      <x:c r="F48" s="12"/>
      <x:c r="G48" s="12"/>
      <x:c r="H48" s="12"/>
    </x:row>
    <x:row r="49">
      <x:c r="A49" s="130"/>
      <x:c r="B49" s="12"/>
      <x:c r="C49" s="12"/>
      <x:c r="D49" s="12"/>
      <x:c r="E49" s="12"/>
      <x:c r="F49" s="12"/>
      <x:c r="G49" s="12"/>
      <x:c r="H49" s="12"/>
    </x:row>
    <x:row r="50">
      <x:c r="A50" s="130"/>
      <x:c r="B50" s="12"/>
      <x:c r="C50" s="12"/>
      <x:c r="D50" s="12"/>
      <x:c r="E50" s="12"/>
      <x:c r="F50" s="12"/>
      <x:c r="G50" s="12"/>
      <x:c r="H50" s="12"/>
    </x:row>
    <x:row r="51">
      <x:c r="A51" s="130"/>
      <x:c r="B51" s="12"/>
      <x:c r="C51" s="12"/>
      <x:c r="D51" s="12"/>
      <x:c r="E51" s="12"/>
      <x:c r="F51" s="12"/>
      <x:c r="G51" s="12"/>
      <x:c r="H51" s="12"/>
    </x:row>
    <x:row r="52">
      <x:c r="A52" s="130"/>
      <x:c r="B52" s="12"/>
      <x:c r="C52" s="12"/>
      <x:c r="D52" s="12"/>
      <x:c r="E52" s="12"/>
      <x:c r="F52" s="12"/>
      <x:c r="G52" s="12"/>
      <x:c r="H52" s="12"/>
    </x:row>
    <x:row r="53">
      <x:c r="A53" s="130"/>
      <x:c r="B53" s="12"/>
      <x:c r="C53" s="12"/>
      <x:c r="D53" s="12"/>
      <x:c r="E53" s="12"/>
      <x:c r="F53" s="12"/>
      <x:c r="G53" s="12"/>
      <x:c r="H53" s="12"/>
    </x:row>
    <x:row r="54">
      <x:c r="A54" s="130"/>
      <x:c r="B54" s="12"/>
      <x:c r="C54" s="12"/>
      <x:c r="D54" s="12"/>
      <x:c r="E54" s="12"/>
      <x:c r="F54" s="12"/>
      <x:c r="G54" s="12"/>
      <x:c r="H54" s="12"/>
    </x:row>
    <x:row r="55">
      <x:c r="A55" s="130"/>
      <x:c r="B55" s="12"/>
      <x:c r="C55" s="12"/>
      <x:c r="D55" s="12"/>
      <x:c r="E55" s="12"/>
      <x:c r="F55" s="12"/>
      <x:c r="G55" s="12"/>
      <x:c r="H55" s="12"/>
    </x:row>
    <x:row r="56">
      <x:c r="A56" s="130"/>
      <x:c r="B56" s="12"/>
      <x:c r="C56" s="12"/>
      <x:c r="D56" s="12"/>
      <x:c r="E56" s="12"/>
      <x:c r="F56" s="12"/>
      <x:c r="G56" s="12"/>
      <x:c r="H56" s="12"/>
    </x:row>
    <x:row r="57">
      <x:c r="A57" s="130"/>
      <x:c r="B57" s="12"/>
      <x:c r="C57" s="12"/>
      <x:c r="D57" s="12"/>
      <x:c r="E57" s="12"/>
      <x:c r="F57" s="12"/>
      <x:c r="G57" s="12"/>
      <x:c r="H57" s="12"/>
    </x:row>
    <x:row r="58">
      <x:c r="A58" s="130"/>
      <x:c r="B58" s="12"/>
      <x:c r="C58" s="12"/>
      <x:c r="D58" s="12"/>
      <x:c r="E58" s="12"/>
      <x:c r="F58" s="12"/>
      <x:c r="G58" s="12"/>
      <x:c r="H58" s="12"/>
    </x:row>
    <x:row r="59">
      <x:c r="A59" s="130"/>
      <x:c r="B59" s="12"/>
      <x:c r="C59" s="12"/>
      <x:c r="D59" s="12"/>
      <x:c r="E59" s="12"/>
      <x:c r="F59" s="12"/>
      <x:c r="G59" s="12"/>
      <x:c r="H59" s="12"/>
    </x:row>
    <x:row r="60">
      <x:c r="A60" s="130"/>
      <x:c r="B60" s="12"/>
      <x:c r="C60" s="12"/>
      <x:c r="D60" s="12"/>
      <x:c r="E60" s="12"/>
      <x:c r="F60" s="12"/>
      <x:c r="G60" s="12"/>
      <x:c r="H60" s="12"/>
    </x:row>
    <x:row r="61">
      <x:c r="A61" s="130"/>
      <x:c r="B61" s="12"/>
      <x:c r="C61" s="12"/>
      <x:c r="D61" s="12"/>
      <x:c r="E61" s="12"/>
      <x:c r="F61" s="12"/>
      <x:c r="G61" s="12"/>
      <x:c r="H61" s="12"/>
    </x:row>
    <x:row r="62">
      <x:c r="A62" s="130"/>
      <x:c r="B62" s="12"/>
      <x:c r="C62" s="12"/>
      <x:c r="D62" s="12"/>
      <x:c r="E62" s="12"/>
      <x:c r="F62" s="12"/>
      <x:c r="G62" s="12"/>
      <x:c r="H62" s="12"/>
    </x:row>
    <x:row r="63">
      <x:c r="A63" s="130"/>
      <x:c r="B63" s="12"/>
      <x:c r="C63" s="12"/>
      <x:c r="D63" s="12"/>
      <x:c r="E63" s="12"/>
      <x:c r="F63" s="12"/>
      <x:c r="G63" s="12"/>
      <x:c r="H63" s="12"/>
    </x:row>
    <x:row r="64">
      <x:c r="A64" s="130"/>
      <x:c r="B64" s="12"/>
      <x:c r="C64" s="12"/>
      <x:c r="D64" s="12"/>
      <x:c r="E64" s="12"/>
      <x:c r="F64" s="12"/>
      <x:c r="G64" s="12"/>
      <x:c r="H64" s="12"/>
    </x:row>
    <x:row r="65">
      <x:c r="A65" s="130"/>
      <x:c r="B65" s="12"/>
      <x:c r="C65" s="12"/>
      <x:c r="D65" s="12"/>
      <x:c r="E65" s="12"/>
      <x:c r="F65" s="12"/>
      <x:c r="G65" s="12"/>
      <x:c r="H65" s="12"/>
    </x:row>
    <x:row r="66">
      <x:c r="A66" s="130"/>
      <x:c r="B66" s="12"/>
      <x:c r="C66" s="12"/>
      <x:c r="D66" s="12"/>
      <x:c r="E66" s="12"/>
      <x:c r="F66" s="12"/>
      <x:c r="G66" s="12"/>
      <x:c r="H66" s="12"/>
    </x:row>
    <x:row r="67">
      <x:c r="A67" s="130"/>
      <x:c r="B67" s="12"/>
      <x:c r="C67" s="12"/>
      <x:c r="D67" s="12"/>
      <x:c r="E67" s="12"/>
      <x:c r="F67" s="12"/>
      <x:c r="G67" s="12"/>
      <x:c r="H67" s="12"/>
    </x:row>
    <x:row r="68">
      <x:c r="A68" s="130"/>
      <x:c r="B68" s="12"/>
      <x:c r="C68" s="12"/>
      <x:c r="D68" s="12"/>
      <x:c r="E68" s="12"/>
      <x:c r="F68" s="12"/>
      <x:c r="G68" s="12"/>
      <x:c r="H68" s="12"/>
    </x:row>
    <x:row r="69">
      <x:c r="A69" s="130"/>
      <x:c r="B69" s="12"/>
      <x:c r="C69" s="12"/>
      <x:c r="D69" s="12"/>
      <x:c r="E69" s="12"/>
      <x:c r="F69" s="12"/>
      <x:c r="G69" s="12"/>
      <x:c r="H69" s="12"/>
    </x:row>
    <x:row r="70">
      <x:c r="A70" s="130"/>
      <x:c r="B70" s="12"/>
      <x:c r="C70" s="12"/>
      <x:c r="D70" s="12"/>
      <x:c r="E70" s="12"/>
      <x:c r="F70" s="12"/>
      <x:c r="G70" s="12"/>
      <x:c r="H70" s="12"/>
    </x:row>
    <x:row r="71">
      <x:c r="A71" s="130"/>
      <x:c r="B71" s="12"/>
      <x:c r="C71" s="12"/>
      <x:c r="D71" s="12"/>
      <x:c r="E71" s="12"/>
      <x:c r="F71" s="12"/>
      <x:c r="G71" s="12"/>
      <x:c r="H71" s="12"/>
    </x:row>
    <x:row r="72">
      <x:c r="A72" s="130"/>
      <x:c r="B72" s="12"/>
      <x:c r="C72" s="12"/>
      <x:c r="D72" s="12"/>
      <x:c r="E72" s="12"/>
      <x:c r="F72" s="12"/>
      <x:c r="G72" s="12"/>
      <x:c r="H72" s="12"/>
    </x:row>
    <x:row r="73">
      <x:c r="A73" s="130"/>
      <x:c r="B73" s="12"/>
      <x:c r="C73" s="12"/>
      <x:c r="D73" s="12"/>
      <x:c r="E73" s="12"/>
      <x:c r="F73" s="12"/>
      <x:c r="G73" s="12"/>
      <x:c r="H73" s="12"/>
    </x:row>
    <x:row r="74">
      <x:c r="A74" s="130"/>
      <x:c r="B74" s="12"/>
      <x:c r="C74" s="12"/>
      <x:c r="D74" s="12"/>
      <x:c r="E74" s="12"/>
      <x:c r="F74" s="12"/>
      <x:c r="G74" s="12"/>
      <x:c r="H74" s="12"/>
    </x:row>
    <x:row r="75">
      <x:c r="A75" s="130"/>
      <x:c r="B75" s="12"/>
      <x:c r="C75" s="12"/>
      <x:c r="D75" s="12"/>
      <x:c r="E75" s="12"/>
      <x:c r="F75" s="12"/>
      <x:c r="G75" s="12"/>
      <x:c r="H75" s="12"/>
    </x:row>
    <x:row r="76">
      <x:c r="A76" s="130"/>
      <x:c r="B76" s="12"/>
      <x:c r="C76" s="12"/>
      <x:c r="D76" s="12"/>
      <x:c r="E76" s="12"/>
      <x:c r="F76" s="12"/>
      <x:c r="G76" s="12"/>
      <x:c r="H76" s="12"/>
    </x:row>
    <x:row r="77">
      <x:c r="A77" s="130"/>
      <x:c r="B77" s="12"/>
      <x:c r="C77" s="12"/>
      <x:c r="D77" s="12"/>
      <x:c r="E77" s="12"/>
      <x:c r="F77" s="12"/>
      <x:c r="G77" s="12"/>
      <x:c r="H77" s="12"/>
    </x:row>
    <x:row r="78">
      <x:c r="A78" s="130"/>
      <x:c r="B78" s="12"/>
      <x:c r="C78" s="12"/>
      <x:c r="D78" s="12"/>
      <x:c r="E78" s="12"/>
      <x:c r="F78" s="12"/>
      <x:c r="G78" s="12"/>
      <x:c r="H78" s="12"/>
    </x:row>
    <x:row r="79">
      <x:c r="A79" s="130"/>
      <x:c r="B79" s="12"/>
      <x:c r="C79" s="12"/>
      <x:c r="D79" s="12"/>
      <x:c r="E79" s="12"/>
      <x:c r="F79" s="12"/>
      <x:c r="G79" s="12"/>
      <x:c r="H79" s="12"/>
    </x:row>
    <x:row r="80">
      <x:c r="A80" s="130"/>
      <x:c r="B80" s="12"/>
      <x:c r="C80" s="12"/>
      <x:c r="D80" s="12"/>
      <x:c r="E80" s="12"/>
      <x:c r="F80" s="12"/>
      <x:c r="G80" s="12"/>
      <x:c r="H80" s="12"/>
    </x:row>
    <x:row r="81">
      <x:c r="A81" s="130"/>
      <x:c r="B81" s="12"/>
      <x:c r="C81" s="12"/>
      <x:c r="D81" s="12"/>
      <x:c r="E81" s="12"/>
      <x:c r="F81" s="12"/>
      <x:c r="G81" s="12"/>
      <x:c r="H81" s="12"/>
    </x:row>
    <x:row r="82">
      <x:c r="A82" s="130"/>
      <x:c r="B82" s="12"/>
      <x:c r="C82" s="12"/>
      <x:c r="D82" s="12"/>
      <x:c r="E82" s="12"/>
      <x:c r="F82" s="12"/>
      <x:c r="G82" s="12"/>
      <x:c r="H82" s="12"/>
    </x:row>
    <x:row r="83">
      <x:c r="A83" s="130"/>
      <x:c r="B83" s="12"/>
      <x:c r="C83" s="12"/>
      <x:c r="D83" s="12"/>
      <x:c r="E83" s="12"/>
      <x:c r="F83" s="12"/>
      <x:c r="G83" s="12"/>
      <x:c r="H83" s="12"/>
    </x:row>
    <x:row r="84">
      <x:c r="A84" s="130"/>
      <x:c r="B84" s="12"/>
      <x:c r="C84" s="12"/>
      <x:c r="D84" s="12"/>
      <x:c r="E84" s="12"/>
      <x:c r="F84" s="12"/>
      <x:c r="G84" s="12"/>
      <x:c r="H84" s="12"/>
    </x:row>
    <x:row r="85">
      <x:c r="A85" s="130"/>
      <x:c r="B85" s="12"/>
      <x:c r="C85" s="12"/>
      <x:c r="D85" s="12"/>
      <x:c r="E85" s="12"/>
      <x:c r="F85" s="12"/>
      <x:c r="G85" s="12"/>
      <x:c r="H85" s="12"/>
    </x:row>
    <x:row r="86">
      <x:c r="A86" s="130"/>
      <x:c r="B86" s="12"/>
      <x:c r="C86" s="12"/>
      <x:c r="D86" s="12"/>
      <x:c r="E86" s="12"/>
      <x:c r="F86" s="12"/>
      <x:c r="G86" s="12"/>
      <x:c r="H86" s="12"/>
    </x:row>
    <x:row r="87">
      <x:c r="A87" s="130"/>
      <x:c r="B87" s="12"/>
      <x:c r="C87" s="12"/>
      <x:c r="D87" s="12"/>
      <x:c r="E87" s="12"/>
      <x:c r="F87" s="12"/>
      <x:c r="G87" s="12"/>
      <x:c r="H87" s="12"/>
    </x:row>
    <x:row r="88">
      <x:c r="A88" s="130"/>
      <x:c r="B88" s="12"/>
      <x:c r="C88" s="12"/>
      <x:c r="D88" s="12"/>
      <x:c r="E88" s="12"/>
      <x:c r="F88" s="12"/>
      <x:c r="G88" s="12"/>
      <x:c r="H88" s="12"/>
    </x:row>
    <x:row r="89">
      <x:c r="A89" s="130"/>
      <x:c r="B89" s="12"/>
      <x:c r="C89" s="12"/>
      <x:c r="D89" s="12"/>
      <x:c r="E89" s="12"/>
      <x:c r="F89" s="12"/>
      <x:c r="G89" s="12"/>
      <x:c r="H89" s="12"/>
    </x:row>
    <x:row r="90">
      <x:c r="A90" s="130"/>
      <x:c r="B90" s="12"/>
      <x:c r="C90" s="12"/>
      <x:c r="D90" s="12"/>
      <x:c r="E90" s="12"/>
      <x:c r="F90" s="12"/>
      <x:c r="G90" s="12"/>
      <x:c r="H90" s="12"/>
    </x:row>
    <x:row r="91">
      <x:c r="A91" s="130"/>
      <x:c r="B91" s="12"/>
      <x:c r="C91" s="12"/>
      <x:c r="D91" s="12"/>
      <x:c r="E91" s="12"/>
      <x:c r="F91" s="12"/>
      <x:c r="G91" s="12"/>
      <x:c r="H91" s="12"/>
    </x:row>
    <x:row r="92">
      <x:c r="A92" s="130"/>
      <x:c r="B92" s="12"/>
      <x:c r="C92" s="12"/>
      <x:c r="D92" s="12"/>
      <x:c r="E92" s="12"/>
      <x:c r="F92" s="12"/>
      <x:c r="G92" s="12"/>
      <x:c r="H92" s="12"/>
    </x:row>
    <x:row r="93">
      <x:c r="A93" s="130"/>
      <x:c r="B93" s="12"/>
      <x:c r="C93" s="12"/>
      <x:c r="D93" s="12"/>
      <x:c r="E93" s="12"/>
      <x:c r="F93" s="12"/>
      <x:c r="G93" s="12"/>
      <x:c r="H93" s="12"/>
    </x:row>
    <x:row r="94">
      <x:c r="A94" s="130"/>
      <x:c r="B94" s="12"/>
      <x:c r="C94" s="12"/>
      <x:c r="D94" s="12"/>
      <x:c r="E94" s="12"/>
      <x:c r="F94" s="12"/>
      <x:c r="G94" s="12"/>
      <x:c r="H94" s="12"/>
    </x:row>
    <x:row r="95">
      <x:c r="A95" s="130"/>
      <x:c r="B95" s="12"/>
      <x:c r="C95" s="12"/>
      <x:c r="D95" s="12"/>
      <x:c r="E95" s="12"/>
      <x:c r="F95" s="12"/>
      <x:c r="G95" s="12"/>
      <x:c r="H95" s="12"/>
    </x:row>
    <x:row r="96">
      <x:c r="A96" s="130"/>
      <x:c r="B96" s="12"/>
      <x:c r="C96" s="12"/>
      <x:c r="D96" s="12"/>
      <x:c r="E96" s="12"/>
      <x:c r="F96" s="12"/>
      <x:c r="G96" s="12"/>
      <x:c r="H96" s="12"/>
    </x:row>
    <x:row r="97">
      <x:c r="A97" s="130"/>
      <x:c r="B97" s="12"/>
      <x:c r="C97" s="12"/>
      <x:c r="D97" s="12"/>
      <x:c r="E97" s="12"/>
      <x:c r="F97" s="12"/>
      <x:c r="G97" s="12"/>
      <x:c r="H97" s="12"/>
    </x:row>
    <x:row r="98">
      <x:c r="A98" s="130"/>
      <x:c r="B98" s="12"/>
      <x:c r="C98" s="12"/>
      <x:c r="D98" s="12"/>
      <x:c r="E98" s="12"/>
      <x:c r="F98" s="12"/>
      <x:c r="G98" s="12"/>
      <x:c r="H98" s="12"/>
    </x:row>
    <x:row r="99">
      <x:c r="A99" s="130"/>
      <x:c r="B99" s="12"/>
      <x:c r="C99" s="12"/>
      <x:c r="D99" s="12"/>
      <x:c r="E99" s="12"/>
      <x:c r="F99" s="12"/>
      <x:c r="G99" s="12"/>
      <x:c r="H99" s="12"/>
    </x:row>
    <x:row r="100">
      <x:c r="A100" s="130"/>
      <x:c r="B100" s="12"/>
      <x:c r="C100" s="12"/>
      <x:c r="D100" s="12"/>
      <x:c r="E100" s="12"/>
      <x:c r="F100" s="12"/>
      <x:c r="G100" s="12"/>
      <x:c r="H100" s="12"/>
    </x:row>
    <x:row r="101">
      <x:c r="A101" s="128"/>
    </x:row>
    <x:row r="102">
      <x:c r="A102" s="128"/>
    </x:row>
    <x:row r="103">
      <x:c r="A103" s="128"/>
    </x:row>
    <x:row r="104">
      <x:c r="A104" s="128"/>
    </x:row>
    <x:row r="105">
      <x:c r="A105" s="128"/>
    </x:row>
    <x:row r="106">
      <x:c r="A106" s="128"/>
    </x:row>
    <x:row r="107">
      <x:c r="A107" s="128"/>
    </x:row>
    <x:row r="108">
      <x:c r="A108" s="128"/>
    </x:row>
    <x:row r="109">
      <x:c r="A109" s="128"/>
    </x:row>
    <x:row r="110">
      <x:c r="A110" s="128"/>
    </x:row>
    <x:row r="111">
      <x:c r="A111" s="128"/>
    </x:row>
    <x:row r="112">
      <x:c r="A112" s="128"/>
    </x:row>
    <x:row r="113">
      <x:c r="A113" s="128"/>
    </x:row>
    <x:row r="114">
      <x:c r="A114" s="128"/>
    </x:row>
    <x:row r="115">
      <x:c r="A115" s="128"/>
    </x:row>
    <x:row r="116">
      <x:c r="A116" s="128"/>
    </x:row>
    <x:row r="117">
      <x:c r="A117" s="128"/>
    </x:row>
    <x:row r="118">
      <x:c r="A118" s="128"/>
    </x:row>
    <x:row r="119">
      <x:c r="A119" s="128"/>
    </x:row>
    <x:row r="120">
      <x:c r="A120" s="128"/>
    </x:row>
    <x:row r="121">
      <x:c r="A121" s="128"/>
    </x:row>
    <x:row r="122">
      <x:c r="A122" s="128"/>
    </x:row>
    <x:row r="123">
      <x:c r="A123" s="128"/>
    </x:row>
    <x:row r="124">
      <x:c r="A124" s="128"/>
    </x:row>
    <x:row r="125">
      <x:c r="A125" s="128"/>
    </x:row>
    <x:row r="126">
      <x:c r="A126" s="128"/>
    </x:row>
    <x:row r="127">
      <x:c r="A127" s="128"/>
    </x:row>
    <x:row r="128">
      <x:c r="A128" s="128"/>
    </x:row>
    <x:row r="129">
      <x:c r="A129" s="128"/>
    </x:row>
    <x:row r="130">
      <x:c r="A130" s="128"/>
    </x:row>
    <x:row r="131">
      <x:c r="A131" s="128"/>
    </x:row>
    <x:row r="132">
      <x:c r="A132" s="128"/>
    </x:row>
    <x:row r="133">
      <x:c r="A133" s="128"/>
    </x:row>
    <x:row r="134">
      <x:c r="A134" s="128"/>
    </x:row>
    <x:row r="135">
      <x:c r="A135" s="128"/>
    </x:row>
    <x:row r="136">
      <x:c r="A136" s="128"/>
    </x:row>
    <x:row r="137">
      <x:c r="A137" s="128"/>
    </x:row>
    <x:row r="138">
      <x:c r="A138" s="128"/>
    </x:row>
    <x:row r="139">
      <x:c r="A139" s="128"/>
    </x:row>
    <x:row r="140">
      <x:c r="A140" s="128"/>
    </x:row>
    <x:row r="141">
      <x:c r="A141" s="128"/>
    </x:row>
    <x:row r="142">
      <x:c r="A142" s="128"/>
    </x:row>
    <x:row r="143">
      <x:c r="A143" s="128"/>
    </x:row>
    <x:row r="144">
      <x:c r="A144" s="128"/>
    </x:row>
    <x:row r="145">
      <x:c r="A145" s="128"/>
    </x:row>
    <x:row r="146">
      <x:c r="A146" s="128"/>
    </x:row>
    <x:row r="147">
      <x:c r="A147" s="128"/>
    </x:row>
    <x:row r="148">
      <x:c r="A148" s="128"/>
    </x:row>
    <x:row r="149">
      <x:c r="A149" s="128"/>
    </x:row>
    <x:row r="150">
      <x:c r="A150" s="128"/>
    </x:row>
    <x:row r="151">
      <x:c r="A151" s="128"/>
    </x:row>
    <x:row r="152">
      <x:c r="A152" s="128"/>
    </x:row>
    <x:row r="153">
      <x:c r="A153" s="128"/>
    </x:row>
    <x:row r="154">
      <x:c r="A154" s="128"/>
    </x:row>
    <x:row r="155">
      <x:c r="A155" s="128"/>
    </x:row>
    <x:row r="156">
      <x:c r="A156" s="128"/>
    </x:row>
    <x:row r="157">
      <x:c r="A157" s="128"/>
    </x:row>
    <x:row r="158">
      <x:c r="A158" s="128"/>
    </x:row>
    <x:row r="159">
      <x:c r="A159" s="128"/>
    </x:row>
    <x:row r="160">
      <x:c r="A160" s="128"/>
    </x:row>
    <x:row r="161">
      <x:c r="A161" s="128"/>
    </x:row>
    <x:row r="162">
      <x:c r="A162" s="128"/>
    </x:row>
    <x:row r="163">
      <x:c r="A163" s="128"/>
    </x:row>
    <x:row r="164">
      <x:c r="A164" s="128"/>
    </x:row>
    <x:row r="165">
      <x:c r="A165" s="128"/>
    </x:row>
    <x:row r="166">
      <x:c r="A166" s="128"/>
    </x:row>
    <x:row r="167">
      <x:c r="A167" s="128"/>
    </x:row>
    <x:row r="168">
      <x:c r="A168" s="128"/>
    </x:row>
    <x:row r="169">
      <x:c r="A169" s="128"/>
    </x:row>
    <x:row r="170">
      <x:c r="A170" s="128"/>
    </x:row>
    <x:row r="171">
      <x:c r="A171" s="128"/>
    </x:row>
    <x:row r="172">
      <x:c r="A172" s="128"/>
    </x:row>
    <x:row r="173">
      <x:c r="A173" s="128"/>
    </x:row>
    <x:row r="174">
      <x:c r="A174" s="128"/>
    </x:row>
    <x:row r="175">
      <x:c r="A175" s="128"/>
    </x:row>
    <x:row r="176">
      <x:c r="A176" s="128"/>
    </x:row>
    <x:row r="177">
      <x:c r="A177" s="128"/>
    </x:row>
    <x:row r="178">
      <x:c r="A178" s="128"/>
    </x:row>
    <x:row r="179">
      <x:c r="A179" s="128"/>
    </x:row>
    <x:row r="180">
      <x:c r="A180" s="128"/>
    </x:row>
    <x:row r="181">
      <x:c r="A181" s="128"/>
    </x:row>
    <x:row r="182">
      <x:c r="A182" s="128"/>
    </x:row>
    <x:row r="183">
      <x:c r="A183" s="128"/>
    </x:row>
    <x:row r="184">
      <x:c r="A184" s="128"/>
    </x:row>
    <x:row r="185">
      <x:c r="A185" s="128"/>
    </x:row>
    <x:row r="186">
      <x:c r="A186" s="128"/>
    </x:row>
    <x:row r="187">
      <x:c r="A187" s="128"/>
    </x:row>
    <x:row r="188">
      <x:c r="A188" s="128"/>
    </x:row>
    <x:row r="189">
      <x:c r="A189" s="128"/>
    </x:row>
    <x:row r="190">
      <x:c r="A190" s="128"/>
    </x:row>
    <x:row r="191">
      <x:c r="A191" s="128"/>
    </x:row>
    <x:row r="192">
      <x:c r="A192" s="128"/>
    </x:row>
    <x:row r="193">
      <x:c r="A193" s="128"/>
    </x:row>
    <x:row r="194">
      <x:c r="A194" s="128"/>
    </x:row>
    <x:row r="195">
      <x:c r="A195" s="128"/>
    </x:row>
    <x:row r="196">
      <x:c r="A196" s="128"/>
    </x:row>
    <x:row r="197">
      <x:c r="A197" s="128"/>
    </x:row>
    <x:row r="198">
      <x:c r="A198" s="128"/>
    </x:row>
    <x:row r="199">
      <x:c r="A199" s="128"/>
    </x:row>
    <x:row r="200">
      <x:c r="A200" s="128"/>
    </x:row>
  </x:sheetData>
  <x:mergeCells>
    <x:mergeCell ref="A1:H1"/>
    <x:mergeCell ref="A13:F13"/>
  </x:mergeCells>
  <x:conditionalFormatting sqref="H4:H100">
    <x:cfRule type="expression" dxfId="13" priority="1">
      <x:formula>H4="Validado"</x:formula>
    </x:cfRule>
    <x:cfRule type="expression" dxfId="14" priority="2">
      <x:formula>H4="En progreso"</x:formula>
    </x:cfRule>
    <x:cfRule type="expression" dxfId="15" priority="3">
      <x:formula>H4="Bloqueado"</x:formula>
    </x:cfRule>
    <x:cfRule type="expression" dxfId="16" priority="4">
      <x:formula>H4="Pendiente"</x:formula>
    </x:cfRule>
  </x:conditionalFormatting>
  <x:conditionalFormatting sqref="B15:F33">
    <x:cfRule type="expression" dxfId="17" priority="5">
      <x:formula>B15="X"</x:formula>
    </x:cfRule>
  </x:conditionalFormatting>
  <x:conditionalFormatting sqref="H11:H11">
    <x:cfRule type="expression" dxfId="22" priority="6">
      <x:formula>H11="Validado"</x:formula>
    </x:cfRule>
    <x:cfRule type="expression" dxfId="23" priority="7">
      <x:formula>H11="En progreso"</x:formula>
    </x:cfRule>
    <x:cfRule type="expression" dxfId="24" priority="8">
      <x:formula>H11="Bloqueado"</x:formula>
    </x:cfRule>
    <x:cfRule type="expression" dxfId="25" priority="9">
      <x:formula>H11="Pendiente"</x:formula>
    </x:cfRule>
  </x:conditionalFormatting>
  <x:dataValidations count="2">
    <x:dataValidation type="list" sqref="H4:H100">
      <x:formula1>"Pendiente,En progreso,Validado,Bloqueado"</x:formula1>
    </x:dataValidation>
    <x:dataValidation type="list" sqref="H11">
      <x:formula1>"Pendiente,En progreso,Validado,Bloqueado"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f5a80f437b4c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4" hidden="0" customWidth="1"/>
    <x:col min="5" max="5" width="38" hidden="0" customWidth="1"/>
    <x:col min="6" max="6" width="38" hidden="0" customWidth="1"/>
    <x:col min="7" max="7" width="18" hidden="0" customWidth="1"/>
    <x:col min="8" max="8" width="18" hidden="0" customWidth="1"/>
    <x:col min="9" max="9" width="12" hidden="0" customWidth="1"/>
    <x:col min="10" max="10" width="15" hidden="0" customWidth="1"/>
    <x:col min="11" max="11" width="26" hidden="0" customWidth="1"/>
  </x:cols>
  <x:sheetData>
    <x:row r="1" ht="28" customHeight="1">
      <x:c r="A1" s="17" t="str">
        <x:v>Planificación por Sprints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8"/>
    </x:row>
    <x:row r="3">
      <x:c r="A3" s="6" t="str">
        <x:v>Sprint</x:v>
      </x:c>
      <x:c r="B3" s="6" t="str">
        <x:v>Inicio</x:v>
      </x:c>
      <x:c r="C3" s="6" t="str">
        <x:v>Fin</x:v>
      </x:c>
      <x:c r="D3" s="6" t="str">
        <x:v>Etapa</x:v>
      </x:c>
      <x:c r="E3" s="6" t="str">
        <x:v>Objetivo principal</x:v>
      </x:c>
      <x:c r="F3" s="6" t="str">
        <x:v>Entregables</x:v>
      </x:c>
      <x:c r="G3" s="6" t="str">
        <x:v>Story Points planificados</x:v>
      </x:c>
      <x:c r="H3" s="6" t="str">
        <x:v>Story Points completados</x:v>
      </x:c>
      <x:c r="I3" s="6" t="str">
        <x:v>% avance</x:v>
      </x:c>
      <x:c r="J3" s="6" t="str">
        <x:v>Estado</x:v>
      </x:c>
      <x:c r="K3" s="6" t="str">
        <x:v>Observaciones</x:v>
      </x:c>
    </x:row>
    <x:row r="4">
      <x:c r="A4" s="130" t="str">
        <x:v>S1</x:v>
      </x:c>
      <x:c r="B4" s="24" t="n">
        <x:v>46244</x:v>
      </x:c>
      <x:c r="C4" s="24" t="n">
        <x:v>46269</x:v>
      </x:c>
      <x:c r="D4" s="12" t="str">
        <x:v>Etapa 1</x:v>
      </x:c>
      <x:c r="E4" s="12" t="str">
        <x:v>Definición del problema, objetivos, requerimientos y planificación.</x:v>
      </x:c>
      <x:c r="F4" s="12" t="str">
        <x:v>Informe Etapa 1 + Backlog + trazabilidad.</x:v>
      </x:c>
      <x:c r="G4" s="12" t="n">
        <x:f>SUMIF(Backlog!$K$4:$K$500,A4,Backlog!$I$4:$I$500)</x:f>
        <x:v>0</x:v>
      </x:c>
      <x:c r="H4" s="12" t="n">
        <x:f>SUMIFS(Backlog!$I$4:$I$500,Backlog!$K$4:$K$500,A4,Backlog!$L$4:$L$500,"Hecho")</x:f>
        <x:v>0</x:v>
      </x:c>
      <x:c r="I4" s="38" t="n">
        <x:f>IFERROR(H4/G4,0)</x:f>
        <x:v>0</x:v>
      </x:c>
      <x:c r="J4" s="12" t="str">
        <x:v>En progreso</x:v>
      </x:c>
      <x:c r="K4" s="12" t="str"/>
    </x:row>
    <x:row r="5">
      <x:c r="A5" s="130" t="str">
        <x:v>S2</x:v>
      </x:c>
      <x:c r="B5" s="24" t="n">
        <x:v>46270</x:v>
      </x:c>
      <x:c r="C5" s="24" t="n">
        <x:v>46297</x:v>
      </x:c>
      <x:c r="D5" s="12" t="str">
        <x:v>Etapa 2</x:v>
      </x:c>
      <x:c r="E5" s="12" t="str">
        <x:v>Completar análisis técnico, entorno OpenStack, arquitectura y diseño de Placement y Glance.</x:v>
      </x:c>
      <x:c r="F5" s="12" t="str">
        <x:v>DevStack funcional, baseline, análisis de Placement y Glance, contratos y diseño técnico.</x:v>
      </x:c>
      <x:c r="G5" s="12" t="n">
        <x:f>SUMIF(Backlog!$K$4:$K$500,A5,Backlog!$I$4:$I$500)</x:f>
        <x:v>33</x:v>
      </x:c>
      <x:c r="H5" s="12" t="n">
        <x:f>SUMIFS(Backlog!$I$4:$I$500,Backlog!$K$4:$K$500,A5,Backlog!$L$4:$L$500,"Hecho")</x:f>
        <x:v>0</x:v>
      </x:c>
      <x:c r="I5" s="38" t="n">
        <x:f>IFERROR(H5/G5,0)</x:f>
        <x:v>0</x:v>
      </x:c>
      <x:c r="J5" s="12" t="str">
        <x:v>Pendiente</x:v>
      </x:c>
      <x:c r="K5" s="12" t="str"/>
    </x:row>
    <x:row r="6">
      <x:c r="A6" s="130" t="str">
        <x:v>S3</x:v>
      </x:c>
      <x:c r="B6" s="24" t="n">
        <x:v>46298</x:v>
      </x:c>
      <x:c r="C6" s="24" t="n">
        <x:v>46325</x:v>
      </x:c>
      <x:c r="D6" s="12" t="str">
        <x:v>Etapa 3</x:v>
      </x:c>
      <x:c r="E6" s="12" t="str">
        <x:v>Alcanzar al menos 50 % de implementación y realizar pruebas iniciales.</x:v>
      </x:c>
      <x:c r="F6" s="12" t="str">
        <x:v>Placement parcialmente funcional, diseño/prototipo de Glance y resultados preliminares.</x:v>
      </x:c>
      <x:c r="G6" s="12" t="n">
        <x:f>SUMIF(Backlog!$K$4:$K$500,A6,Backlog!$I$4:$I$500)</x:f>
        <x:v>58</x:v>
      </x:c>
      <x:c r="H6" s="12" t="n">
        <x:f>SUMIFS(Backlog!$I$4:$I$500,Backlog!$K$4:$K$500,A6,Backlog!$L$4:$L$500,"Hecho")</x:f>
        <x:v>0</x:v>
      </x:c>
      <x:c r="I6" s="38" t="n">
        <x:f>IFERROR(H6/G6,0)</x:f>
        <x:v>0</x:v>
      </x:c>
      <x:c r="J6" s="12" t="str">
        <x:v>Pendiente</x:v>
      </x:c>
      <x:c r="K6" s="12" t="str"/>
    </x:row>
    <x:row r="7">
      <x:c r="A7" s="130" t="str">
        <x:v>S4</x:v>
      </x:c>
      <x:c r="B7" s="24" t="n">
        <x:v>46326</x:v>
      </x:c>
      <x:c r="C7" s="24" t="n">
        <x:v>46346</x:v>
      </x:c>
      <x:c r="D7" s="12" t="str">
        <x:v>Implementación</x:v>
      </x:c>
      <x:c r="E7" s="12" t="str">
        <x:v>Completar la integración y funcionalidades críticas de Placement y Glance.</x:v>
      </x:c>
      <x:c r="F7" s="12" t="str">
        <x:v>Placement integrado y núcleo de Glance funcional con pruebas de API y datos de imagen.</x:v>
      </x:c>
      <x:c r="G7" s="12" t="n">
        <x:f>SUMIF(Backlog!$K$4:$K$500,A7,Backlog!$I$4:$I$500)</x:f>
        <x:v>60</x:v>
      </x:c>
      <x:c r="H7" s="12" t="n">
        <x:f>SUMIFS(Backlog!$I$4:$I$500,Backlog!$K$4:$K$500,A7,Backlog!$L$4:$L$500,"Hecho")</x:f>
        <x:v>0</x:v>
      </x:c>
      <x:c r="I7" s="38" t="n">
        <x:f>IFERROR(H7/G7,0)</x:f>
        <x:v>0</x:v>
      </x:c>
      <x:c r="J7" s="12" t="str">
        <x:v>Pendiente</x:v>
      </x:c>
      <x:c r="K7" s="12" t="str"/>
    </x:row>
    <x:row r="8">
      <x:c r="A8" s="130" t="str">
        <x:v>S5</x:v>
      </x:c>
      <x:c r="B8" s="24" t="n">
        <x:v>46347</x:v>
      </x:c>
      <x:c r="C8" s="24" t="n">
        <x:v>46360</x:v>
      </x:c>
      <x:c r="D8" s="12" t="str">
        <x:v>Etapa 4</x:v>
      </x:c>
      <x:c r="E8" s="12" t="str">
        <x:v>Validación final, benchmarking y redacción.</x:v>
      </x:c>
      <x:c r="F8" s="12" t="str">
        <x:v>Pruebas end-to-end de Placement y Glance, comparaciones, conclusiones e informe.</x:v>
      </x:c>
      <x:c r="G8" s="12" t="n">
        <x:f>SUMIF(Backlog!$K$4:$K$500,A8,Backlog!$I$4:$I$500)</x:f>
        <x:v>34</x:v>
      </x:c>
      <x:c r="H8" s="12" t="n">
        <x:f>SUMIFS(Backlog!$I$4:$I$500,Backlog!$K$4:$K$500,A8,Backlog!$L$4:$L$500,"Hecho")</x:f>
        <x:v>0</x:v>
      </x:c>
      <x:c r="I8" s="38" t="n">
        <x:f>IFERROR(H8/G8,0)</x:f>
        <x:v>0</x:v>
      </x:c>
      <x:c r="J8" s="12" t="str">
        <x:v>Pendiente</x:v>
      </x:c>
      <x:c r="K8" s="12" t="str"/>
    </x:row>
    <x:row r="9">
      <x:c r="A9" s="130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30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30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30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30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30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30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30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30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30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30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30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30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30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30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30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30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30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30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30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30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30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30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30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30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30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30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30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30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30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30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30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30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30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30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30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30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30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30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30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30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30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8"/>
    </x:row>
    <x:row r="52">
      <x:c r="A52" s="128"/>
    </x:row>
    <x:row r="53">
      <x:c r="A53" s="128"/>
    </x:row>
    <x:row r="54">
      <x:c r="A54" s="128"/>
    </x:row>
    <x:row r="55">
      <x:c r="A55" s="128"/>
    </x:row>
    <x:row r="56">
      <x:c r="A56" s="128"/>
    </x:row>
    <x:row r="57">
      <x:c r="A57" s="128"/>
    </x:row>
    <x:row r="58">
      <x:c r="A58" s="128"/>
    </x:row>
    <x:row r="59">
      <x:c r="A59" s="128"/>
    </x:row>
    <x:row r="60">
      <x:c r="A60" s="128"/>
    </x:row>
    <x:row r="61">
      <x:c r="A61" s="128"/>
    </x:row>
    <x:row r="62">
      <x:c r="A62" s="128"/>
    </x:row>
    <x:row r="63">
      <x:c r="A63" s="128"/>
    </x:row>
    <x:row r="64">
      <x:c r="A64" s="128"/>
    </x:row>
    <x:row r="65">
      <x:c r="A65" s="128"/>
    </x:row>
    <x:row r="66">
      <x:c r="A66" s="128"/>
    </x:row>
    <x:row r="67">
      <x:c r="A67" s="128"/>
    </x:row>
    <x:row r="68">
      <x:c r="A68" s="128"/>
    </x:row>
    <x:row r="69">
      <x:c r="A69" s="128"/>
    </x:row>
    <x:row r="70">
      <x:c r="A70" s="128"/>
    </x:row>
    <x:row r="71">
      <x:c r="A71" s="128"/>
    </x:row>
    <x:row r="72">
      <x:c r="A72" s="128"/>
    </x:row>
    <x:row r="73">
      <x:c r="A73" s="128"/>
    </x:row>
    <x:row r="74">
      <x:c r="A74" s="128"/>
    </x:row>
    <x:row r="75">
      <x:c r="A75" s="128"/>
    </x:row>
    <x:row r="76">
      <x:c r="A76" s="128"/>
    </x:row>
    <x:row r="77">
      <x:c r="A77" s="128"/>
    </x:row>
    <x:row r="78">
      <x:c r="A78" s="128"/>
    </x:row>
    <x:row r="79">
      <x:c r="A79" s="128"/>
    </x:row>
    <x:row r="80">
      <x:c r="A80" s="128"/>
    </x:row>
    <x:row r="81">
      <x:c r="A81" s="128"/>
    </x:row>
    <x:row r="82">
      <x:c r="A82" s="128"/>
    </x:row>
    <x:row r="83">
      <x:c r="A83" s="128"/>
    </x:row>
    <x:row r="84">
      <x:c r="A84" s="128"/>
    </x:row>
    <x:row r="85">
      <x:c r="A85" s="128"/>
    </x:row>
    <x:row r="86">
      <x:c r="A86" s="128"/>
    </x:row>
    <x:row r="87">
      <x:c r="A87" s="128"/>
    </x:row>
    <x:row r="88">
      <x:c r="A88" s="128"/>
    </x:row>
    <x:row r="89">
      <x:c r="A89" s="128"/>
    </x:row>
    <x:row r="90">
      <x:c r="A90" s="128"/>
    </x:row>
    <x:row r="91">
      <x:c r="A91" s="128"/>
    </x:row>
    <x:row r="92">
      <x:c r="A92" s="128"/>
    </x:row>
    <x:row r="93">
      <x:c r="A93" s="128"/>
    </x:row>
    <x:row r="94">
      <x:c r="A94" s="128"/>
    </x:row>
    <x:row r="95">
      <x:c r="A95" s="128"/>
    </x:row>
    <x:row r="96">
      <x:c r="A96" s="128"/>
    </x:row>
    <x:row r="97">
      <x:c r="A97" s="128"/>
    </x:row>
    <x:row r="98">
      <x:c r="A98" s="128"/>
    </x:row>
    <x:row r="99">
      <x:c r="A99" s="128"/>
    </x:row>
    <x:row r="100">
      <x:c r="A100" s="128"/>
    </x:row>
    <x:row r="101">
      <x:c r="A101" s="128"/>
    </x:row>
    <x:row r="102">
      <x:c r="A102" s="128"/>
    </x:row>
    <x:row r="103">
      <x:c r="A103" s="128"/>
    </x:row>
    <x:row r="104">
      <x:c r="A104" s="128"/>
    </x:row>
    <x:row r="105">
      <x:c r="A105" s="128"/>
    </x:row>
    <x:row r="106">
      <x:c r="A106" s="128"/>
    </x:row>
    <x:row r="107">
      <x:c r="A107" s="128"/>
    </x:row>
    <x:row r="108">
      <x:c r="A108" s="128"/>
    </x:row>
    <x:row r="109">
      <x:c r="A109" s="128"/>
    </x:row>
    <x:row r="110">
      <x:c r="A110" s="128"/>
    </x:row>
    <x:row r="111">
      <x:c r="A111" s="128"/>
    </x:row>
    <x:row r="112">
      <x:c r="A112" s="128"/>
    </x:row>
    <x:row r="113">
      <x:c r="A113" s="128"/>
    </x:row>
    <x:row r="114">
      <x:c r="A114" s="128"/>
    </x:row>
    <x:row r="115">
      <x:c r="A115" s="128"/>
    </x:row>
    <x:row r="116">
      <x:c r="A116" s="128"/>
    </x:row>
    <x:row r="117">
      <x:c r="A117" s="128"/>
    </x:row>
    <x:row r="118">
      <x:c r="A118" s="128"/>
    </x:row>
    <x:row r="119">
      <x:c r="A119" s="128"/>
    </x:row>
    <x:row r="120">
      <x:c r="A120" s="128"/>
    </x:row>
    <x:row r="121">
      <x:c r="A121" s="128"/>
    </x:row>
    <x:row r="122">
      <x:c r="A122" s="128"/>
    </x:row>
    <x:row r="123">
      <x:c r="A123" s="128"/>
    </x:row>
    <x:row r="124">
      <x:c r="A124" s="128"/>
    </x:row>
    <x:row r="125">
      <x:c r="A125" s="128"/>
    </x:row>
    <x:row r="126">
      <x:c r="A126" s="128"/>
    </x:row>
    <x:row r="127">
      <x:c r="A127" s="128"/>
    </x:row>
    <x:row r="128">
      <x:c r="A128" s="128"/>
    </x:row>
    <x:row r="129">
      <x:c r="A129" s="128"/>
    </x:row>
    <x:row r="130">
      <x:c r="A130" s="128"/>
    </x:row>
    <x:row r="131">
      <x:c r="A131" s="128"/>
    </x:row>
    <x:row r="132">
      <x:c r="A132" s="128"/>
    </x:row>
    <x:row r="133">
      <x:c r="A133" s="128"/>
    </x:row>
    <x:row r="134">
      <x:c r="A134" s="128"/>
    </x:row>
    <x:row r="135">
      <x:c r="A135" s="128"/>
    </x:row>
    <x:row r="136">
      <x:c r="A136" s="128"/>
    </x:row>
    <x:row r="137">
      <x:c r="A137" s="128"/>
    </x:row>
    <x:row r="138">
      <x:c r="A138" s="128"/>
    </x:row>
    <x:row r="139">
      <x:c r="A139" s="128"/>
    </x:row>
    <x:row r="140">
      <x:c r="A140" s="128"/>
    </x:row>
    <x:row r="141">
      <x:c r="A141" s="128"/>
    </x:row>
    <x:row r="142">
      <x:c r="A142" s="128"/>
    </x:row>
    <x:row r="143">
      <x:c r="A143" s="128"/>
    </x:row>
    <x:row r="144">
      <x:c r="A144" s="128"/>
    </x:row>
    <x:row r="145">
      <x:c r="A145" s="128"/>
    </x:row>
    <x:row r="146">
      <x:c r="A146" s="128"/>
    </x:row>
    <x:row r="147">
      <x:c r="A147" s="128"/>
    </x:row>
    <x:row r="148">
      <x:c r="A148" s="128"/>
    </x:row>
    <x:row r="149">
      <x:c r="A149" s="128"/>
    </x:row>
    <x:row r="150">
      <x:c r="A150" s="128"/>
    </x:row>
    <x:row r="151">
      <x:c r="A151" s="128"/>
    </x:row>
    <x:row r="152">
      <x:c r="A152" s="128"/>
    </x:row>
    <x:row r="153">
      <x:c r="A153" s="128"/>
    </x:row>
    <x:row r="154">
      <x:c r="A154" s="128"/>
    </x:row>
    <x:row r="155">
      <x:c r="A155" s="128"/>
    </x:row>
    <x:row r="156">
      <x:c r="A156" s="128"/>
    </x:row>
    <x:row r="157">
      <x:c r="A157" s="128"/>
    </x:row>
    <x:row r="158">
      <x:c r="A158" s="128"/>
    </x:row>
    <x:row r="159">
      <x:c r="A159" s="128"/>
    </x:row>
    <x:row r="160">
      <x:c r="A160" s="128"/>
    </x:row>
    <x:row r="161">
      <x:c r="A161" s="128"/>
    </x:row>
    <x:row r="162">
      <x:c r="A162" s="128"/>
    </x:row>
    <x:row r="163">
      <x:c r="A163" s="128"/>
    </x:row>
    <x:row r="164">
      <x:c r="A164" s="128"/>
    </x:row>
    <x:row r="165">
      <x:c r="A165" s="128"/>
    </x:row>
    <x:row r="166">
      <x:c r="A166" s="128"/>
    </x:row>
    <x:row r="167">
      <x:c r="A167" s="128"/>
    </x:row>
    <x:row r="168">
      <x:c r="A168" s="128"/>
    </x:row>
    <x:row r="169">
      <x:c r="A169" s="128"/>
    </x:row>
    <x:row r="170">
      <x:c r="A170" s="128"/>
    </x:row>
    <x:row r="171">
      <x:c r="A171" s="128"/>
    </x:row>
    <x:row r="172">
      <x:c r="A172" s="128"/>
    </x:row>
    <x:row r="173">
      <x:c r="A173" s="128"/>
    </x:row>
    <x:row r="174">
      <x:c r="A174" s="128"/>
    </x:row>
    <x:row r="175">
      <x:c r="A175" s="128"/>
    </x:row>
    <x:row r="176">
      <x:c r="A176" s="128"/>
    </x:row>
    <x:row r="177">
      <x:c r="A177" s="128"/>
    </x:row>
    <x:row r="178">
      <x:c r="A178" s="128"/>
    </x:row>
    <x:row r="179">
      <x:c r="A179" s="128"/>
    </x:row>
    <x:row r="180">
      <x:c r="A180" s="128"/>
    </x:row>
    <x:row r="181">
      <x:c r="A181" s="128"/>
    </x:row>
    <x:row r="182">
      <x:c r="A182" s="128"/>
    </x:row>
    <x:row r="183">
      <x:c r="A183" s="128"/>
    </x:row>
    <x:row r="184">
      <x:c r="A184" s="128"/>
    </x:row>
    <x:row r="185">
      <x:c r="A185" s="128"/>
    </x:row>
    <x:row r="186">
      <x:c r="A186" s="128"/>
    </x:row>
    <x:row r="187">
      <x:c r="A187" s="128"/>
    </x:row>
    <x:row r="188">
      <x:c r="A188" s="128"/>
    </x:row>
    <x:row r="189">
      <x:c r="A189" s="128"/>
    </x:row>
    <x:row r="190">
      <x:c r="A190" s="128"/>
    </x:row>
    <x:row r="191">
      <x:c r="A191" s="128"/>
    </x:row>
    <x:row r="192">
      <x:c r="A192" s="128"/>
    </x:row>
    <x:row r="193">
      <x:c r="A193" s="128"/>
    </x:row>
    <x:row r="194">
      <x:c r="A194" s="128"/>
    </x:row>
    <x:row r="195">
      <x:c r="A195" s="128"/>
    </x:row>
    <x:row r="196">
      <x:c r="A196" s="128"/>
    </x:row>
    <x:row r="197">
      <x:c r="A197" s="128"/>
    </x:row>
    <x:row r="198">
      <x:c r="A198" s="128"/>
    </x:row>
    <x:row r="199">
      <x:c r="A199" s="128"/>
    </x:row>
    <x:row r="200">
      <x:c r="A200" s="128"/>
    </x:row>
  </x:sheetData>
  <x:mergeCells>
    <x:mergeCell ref="A1:K1"/>
  </x:mergeCells>
  <x:dataValidations count="1">
    <x:dataValidation type="list" sqref="J4:J50">
      <x:formula1>"Pendiente,En progreso,Completado,Bloqueado"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91316a909946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6" hidden="0" customWidth="1"/>
    <x:col min="8" max="8" width="22" hidden="0" customWidth="1"/>
    <x:col min="9" max="9" width="14" hidden="0" customWidth="1"/>
    <x:col min="10" max="10" width="18" hidden="0" customWidth="1"/>
    <x:col min="11" max="11" width="30" hidden="0" customWidth="1"/>
    <x:col min="12" max="12" width="14" hidden="0" customWidth="1"/>
  </x:cols>
  <x:sheetData>
    <x:row r="1" ht="32" customHeight="1">
      <x:c r="A1" s="126" t="str">
        <x:v>Dashboard de Avance del Trabajo de Título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</x:row>
    <x:row r="2">
      <x:c r="A2" s="130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81" t="str">
        <x:f>"Avance general"&amp;CHAR(10)&amp;TEXT(IFERROR(SUMIF(Backlog!$L$4:$L$500,"Hecho",Backlog!$I$4:$I$500)/SUM(Backlog!$I$4:$I$500),0),"0%")</x:f>
        <x:v>Avance general
0%</x:v>
      </x:c>
      <x:c r="B3" s="82"/>
      <x:c r="C3" s="83"/>
      <x:c r="D3" s="81" t="str">
        <x:f>"SP completados"&amp;CHAR(10)&amp;TEXT(SUMIF(Backlog!$L$4:$L$500,"Hecho",Backlog!$I$4:$I$500),"0")</x:f>
        <x:v>SP completados
0</x:v>
      </x:c>
      <x:c r="E3" s="82"/>
      <x:c r="F3" s="83"/>
      <x:c r="G3" s="81" t="str">
        <x:f>"SP totales"&amp;CHAR(10)&amp;TEXT(SUM(Backlog!$I$4:$I$500),"0")</x:f>
        <x:v>SP totales
185</x:v>
      </x:c>
      <x:c r="H3" s="82"/>
      <x:c r="I3" s="83"/>
      <x:c r="J3" s="81" t="str">
        <x:f>"Req. validados"&amp;CHAR(10)&amp;TEXT(COUNTIF(Requerimientos!$K$4:$K$300,"Validado"),"0")</x:f>
        <x:v>Req. validados
0</x:v>
      </x:c>
      <x:c r="K3" s="82"/>
      <x:c r="L3" s="83"/>
    </x:row>
    <x:row r="4">
      <x:c r="A4" s="84"/>
      <x:c r="B4" s="85"/>
      <x:c r="C4" s="86"/>
      <x:c r="D4" s="84"/>
      <x:c r="E4" s="85"/>
      <x:c r="F4" s="86"/>
      <x:c r="G4" s="84"/>
      <x:c r="H4" s="85"/>
      <x:c r="I4" s="86"/>
      <x:c r="J4" s="84"/>
      <x:c r="K4" s="85"/>
      <x:c r="L4" s="86"/>
    </x:row>
    <x:row r="5">
      <x:c r="A5" s="87"/>
      <x:c r="B5" s="88"/>
      <x:c r="C5" s="89"/>
      <x:c r="D5" s="87"/>
      <x:c r="E5" s="88"/>
      <x:c r="F5" s="89"/>
      <x:c r="G5" s="87"/>
      <x:c r="H5" s="88"/>
      <x:c r="I5" s="89"/>
      <x:c r="J5" s="87"/>
      <x:c r="K5" s="88"/>
      <x:c r="L5" s="89"/>
    </x:row>
    <x:row r="6">
      <x:c r="A6" s="130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>
      <x:c r="A7" s="81" t="str">
        <x:f>"Total requerimientos"&amp;CHAR(10)&amp;TEXT(COUNTA(Requerimientos!$A$4:$A$300),"0")</x:f>
        <x:v>Total requerimientos
19</x:v>
      </x:c>
      <x:c r="B7" s="82"/>
      <x:c r="C7" s="83"/>
      <x:c r="D7" s="81" t="str">
        <x:f>"Tareas bloqueadas"&amp;CHAR(10)&amp;TEXT(COUNTIF(Backlog!$L$4:$L$500,"Bloqueado"),"0")</x:f>
        <x:v>Tareas bloqueadas
0</x:v>
      </x:c>
      <x:c r="E7" s="82"/>
      <x:c r="F7" s="83"/>
      <x:c r="G7" s="81" t="str">
        <x:f>"Objetivos cumplidos"&amp;CHAR(10)&amp;TEXT(COUNTIF(Objetivos_SMART!$K$4:$K$200,"Cumplido"),"0")</x:f>
        <x:v>Objetivos cumplidos
0</x:v>
      </x:c>
      <x:c r="H7" s="82"/>
      <x:c r="I7" s="83"/>
      <x:c r="J7" s="81" t="str">
        <x:f>"Días restantes"&amp;CHAR(10)&amp;TEXT(MAX(0,DATE(2026,12,4)-TODAY()),"0")</x:f>
        <x:v>Días restantes
91</x:v>
      </x:c>
      <x:c r="K7" s="82"/>
      <x:c r="L7" s="83"/>
    </x:row>
    <x:row r="8">
      <x:c r="A8" s="84"/>
      <x:c r="B8" s="85"/>
      <x:c r="C8" s="86"/>
      <x:c r="D8" s="84"/>
      <x:c r="E8" s="85"/>
      <x:c r="F8" s="86"/>
      <x:c r="G8" s="84"/>
      <x:c r="H8" s="85"/>
      <x:c r="I8" s="86"/>
      <x:c r="J8" s="84"/>
      <x:c r="K8" s="85"/>
      <x:c r="L8" s="86"/>
    </x:row>
    <x:row r="9">
      <x:c r="A9" s="87"/>
      <x:c r="B9" s="88"/>
      <x:c r="C9" s="89"/>
      <x:c r="D9" s="87"/>
      <x:c r="E9" s="88"/>
      <x:c r="F9" s="89"/>
      <x:c r="G9" s="87"/>
      <x:c r="H9" s="88"/>
      <x:c r="I9" s="89"/>
      <x:c r="J9" s="87"/>
      <x:c r="K9" s="88"/>
      <x:c r="L9" s="89"/>
    </x:row>
    <x:row r="10">
      <x:c r="A10" s="130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30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>
      <x:c r="A12" s="6" t="str">
        <x:v>Sprint</x:v>
      </x:c>
      <x:c r="B12" s="6" t="str">
        <x:v>SP planificados</x:v>
      </x:c>
      <x:c r="C12" s="6" t="str">
        <x:v>SP completados</x:v>
      </x:c>
      <x:c r="D12" s="12"/>
      <x:c r="E12" s="6" t="str">
        <x:v>Estado backlog</x:v>
      </x:c>
      <x:c r="F12" s="6" t="str">
        <x:v>Cantidad</x:v>
      </x:c>
      <x:c r="G12" s="12"/>
      <x:c r="H12" s="6" t="str">
        <x:v>Estado requerimiento</x:v>
      </x:c>
      <x:c r="I12" s="6" t="str">
        <x:v>Cantidad</x:v>
      </x:c>
      <x:c r="J12" s="12"/>
      <x:c r="K12" s="6" t="str">
        <x:v>Épica</x:v>
      </x:c>
      <x:c r="L12" s="6" t="str">
        <x:v>Cantidad</x:v>
      </x:c>
    </x:row>
    <x:row r="13">
      <x:c r="A13" s="130" t="str">
        <x:f>Sprints!A4</x:f>
        <x:v>S1</x:v>
      </x:c>
      <x:c r="B13" s="12" t="n">
        <x:f>Sprints!G4</x:f>
        <x:v>0</x:v>
      </x:c>
      <x:c r="C13" s="12" t="n">
        <x:f>Sprints!H4</x:f>
        <x:v>0</x:v>
      </x:c>
      <x:c r="D13" s="12"/>
      <x:c r="E13" s="12" t="str">
        <x:v>Pendiente</x:v>
      </x:c>
      <x:c r="F13" s="12" t="n">
        <x:f>COUNTIF(Backlog!$L$4:$L$500,E13)</x:f>
        <x:v>23</x:v>
      </x:c>
      <x:c r="G13" s="12"/>
      <x:c r="H13" s="12" t="str">
        <x:v>Propuesto</x:v>
      </x:c>
      <x:c r="I13" s="12" t="n">
        <x:f>COUNTIF(Requerimientos!$K$4:$K$300,H13)</x:f>
        <x:v>8</x:v>
      </x:c>
      <x:c r="J13" s="12"/>
      <x:c r="K13" s="12" t="str">
        <x:v>E1: Infraestructura y entorno</x:v>
      </x:c>
      <x:c r="L13" s="12" t="n">
        <x:f>COUNTIF(Backlog!$B$4:$B$500,K13)</x:f>
        <x:v>3</x:v>
      </x:c>
    </x:row>
    <x:row r="14">
      <x:c r="A14" s="130" t="str">
        <x:f>Sprints!A5</x:f>
        <x:v>S2</x:v>
      </x:c>
      <x:c r="B14" s="12" t="n">
        <x:f>Sprints!G5</x:f>
        <x:v>33</x:v>
      </x:c>
      <x:c r="C14" s="12" t="n">
        <x:f>Sprints!H5</x:f>
        <x:v>0</x:v>
      </x:c>
      <x:c r="D14" s="12"/>
      <x:c r="E14" s="12" t="str">
        <x:v>En progreso</x:v>
      </x:c>
      <x:c r="F14" s="12" t="n">
        <x:f>COUNTIF(Backlog!$L$4:$L$500,E14)</x:f>
        <x:v>3</x:v>
      </x:c>
      <x:c r="G14" s="12"/>
      <x:c r="H14" s="12" t="str">
        <x:v>Aprobado</x:v>
      </x:c>
      <x:c r="I14" s="12" t="n">
        <x:f>COUNTIF(Requerimientos!$K$4:$K$300,H14)</x:f>
        <x:v>11</x:v>
      </x:c>
      <x:c r="J14" s="12"/>
      <x:c r="K14" s="12" t="str">
        <x:v>E2: Análisis y compatibilidad</x:v>
      </x:c>
      <x:c r="L14" s="12" t="n">
        <x:f>COUNTIF(Backlog!$B$4:$B$500,K14)</x:f>
        <x:v>3</x:v>
      </x:c>
    </x:row>
    <x:row r="15">
      <x:c r="A15" s="130" t="str">
        <x:f>Sprints!A6</x:f>
        <x:v>S3</x:v>
      </x:c>
      <x:c r="B15" s="12" t="n">
        <x:f>Sprints!G6</x:f>
        <x:v>58</x:v>
      </x:c>
      <x:c r="C15" s="12" t="n">
        <x:f>Sprints!H6</x:f>
        <x:v>0</x:v>
      </x:c>
      <x:c r="D15" s="12"/>
      <x:c r="E15" s="12" t="str">
        <x:v>Hecho</x:v>
      </x:c>
      <x:c r="F15" s="12" t="n">
        <x:f>COUNTIF(Backlog!$L$4:$L$500,E15)</x:f>
        <x:v>0</x:v>
      </x:c>
      <x:c r="G15" s="12"/>
      <x:c r="H15" s="12" t="str">
        <x:v>En desarrollo</x:v>
      </x:c>
      <x:c r="I15" s="12" t="n">
        <x:f>COUNTIF(Requerimientos!$K$4:$K$300,H15)</x:f>
        <x:v>0</x:v>
      </x:c>
      <x:c r="J15" s="12"/>
      <x:c r="K15" s="12" t="str">
        <x:v>E3: Reimplementación Placement</x:v>
      </x:c>
      <x:c r="L15" s="12" t="n">
        <x:f>COUNTIF(Backlog!$B$4:$B$500,K15)</x:f>
        <x:v>6</x:v>
      </x:c>
    </x:row>
    <x:row r="16">
      <x:c r="A16" s="130" t="str">
        <x:f>Sprints!A7</x:f>
        <x:v>S4</x:v>
      </x:c>
      <x:c r="B16" s="12" t="n">
        <x:f>Sprints!G7</x:f>
        <x:v>60</x:v>
      </x:c>
      <x:c r="C16" s="12" t="n">
        <x:f>Sprints!H7</x:f>
        <x:v>0</x:v>
      </x:c>
      <x:c r="D16" s="12"/>
      <x:c r="E16" s="12" t="str">
        <x:v>Bloqueado</x:v>
      </x:c>
      <x:c r="F16" s="12" t="n">
        <x:f>COUNTIF(Backlog!$L$4:$L$500,E16)</x:f>
        <x:v>0</x:v>
      </x:c>
      <x:c r="G16" s="12"/>
      <x:c r="H16" s="12" t="str">
        <x:v>Implementado</x:v>
      </x:c>
      <x:c r="I16" s="12" t="n">
        <x:f>COUNTIF(Requerimientos!$K$4:$K$300,H16)</x:f>
        <x:v>0</x:v>
      </x:c>
      <x:c r="J16" s="12"/>
      <x:c r="K16" s="12" t="str">
        <x:v>E4: Integración OpenStack</x:v>
      </x:c>
      <x:c r="L16" s="12" t="n">
        <x:f>COUNTIF(Backlog!$B$4:$B$500,K16)</x:f>
        <x:v>2</x:v>
      </x:c>
    </x:row>
    <x:row r="17">
      <x:c r="A17" s="130" t="str">
        <x:f>Sprints!A8</x:f>
        <x:v>S5</x:v>
      </x:c>
      <x:c r="B17" s="12" t="n">
        <x:f>Sprints!G8</x:f>
        <x:v>34</x:v>
      </x:c>
      <x:c r="C17" s="12" t="n">
        <x:f>Sprints!H8</x:f>
        <x:v>0</x:v>
      </x:c>
      <x:c r="D17" s="12"/>
      <x:c r="E17" s="12" t="str">
        <x:v>Descartado</x:v>
      </x:c>
      <x:c r="F17" s="12" t="n">
        <x:f>COUNTIF(Backlog!$L$4:$L$500,E17)</x:f>
        <x:v>0</x:v>
      </x:c>
      <x:c r="G17" s="12"/>
      <x:c r="H17" s="12" t="str">
        <x:v>Validado</x:v>
      </x:c>
      <x:c r="I17" s="12" t="n">
        <x:f>COUNTIF(Requerimientos!$K$4:$K$300,H17)</x:f>
        <x:v>0</x:v>
      </x:c>
      <x:c r="J17" s="12"/>
      <x:c r="K17" s="12" t="str">
        <x:v>E5: Pruebas y benchmarking</x:v>
      </x:c>
      <x:c r="L17" s="12" t="n">
        <x:f>COUNTIF(Backlog!$B$4:$B$500,K17)</x:f>
        <x:v>4</x:v>
      </x:c>
    </x:row>
    <x:row r="18">
      <x:c r="A18" s="130"/>
      <x:c r="B18" s="12"/>
      <x:c r="C18" s="12"/>
      <x:c r="D18" s="12"/>
      <x:c r="E18" s="12"/>
      <x:c r="F18" s="12"/>
      <x:c r="G18" s="12"/>
      <x:c r="H18" s="12" t="str">
        <x:v>Descartado</x:v>
      </x:c>
      <x:c r="I18" s="12" t="n">
        <x:f>COUNTIF(Requerimientos!$K$4:$K$300,H18)</x:f>
        <x:v>0</x:v>
      </x:c>
      <x:c r="J18" s="12"/>
      <x:c r="K18" s="12" t="str">
        <x:v>E6: Reimplementación Glance</x:v>
      </x:c>
      <x:c r="L18" s="12" t="n">
        <x:f>COUNTIF(Backlog!$B$4:$B$500,K18)</x:f>
        <x:v>4</x:v>
      </x:c>
    </x:row>
    <x:row r="19">
      <x:c r="A19" s="130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 t="str">
        <x:v>E7: Documentación</x:v>
      </x:c>
      <x:c r="L19" s="12" t="n">
        <x:f>COUNTIF(Backlog!$B$4:$B$500,K19)</x:f>
        <x:v>4</x:v>
      </x:c>
    </x:row>
    <x:row r="20">
      <x:c r="A20" s="130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30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6" t="str">
        <x:v>Objetivo</x:v>
      </x:c>
      <x:c r="B22" s="6" t="str">
        <x:v>Estado</x:v>
      </x:c>
      <x:c r="C22" s="6" t="str">
        <x:v>Avance</x:v>
      </x:c>
      <x:c r="D22" s="12"/>
      <x:c r="E22" s="6" t="str">
        <x:v>Próximos hitos</x:v>
      </x:c>
      <x:c r="F22" s="6"/>
      <x:c r="G22" s="6"/>
      <x:c r="H22" s="6"/>
      <x:c r="I22" s="6"/>
      <x:c r="J22" s="12"/>
      <x:c r="K22" s="12"/>
      <x:c r="L22" s="12"/>
    </x:row>
    <x:row r="23">
      <x:c r="A23" s="130" t="str">
        <x:f>Objetivos_SMART!A4</x:f>
        <x:v>OE1</x:v>
      </x:c>
      <x:c r="B23" s="12" t="str">
        <x:f>Objetivos_SMART!K4</x:f>
        <x:v>En progreso</x:v>
      </x:c>
      <x:c r="C23" s="38" t="n">
        <x:f>IF(B23="Cumplido",1,IF(B23="En progreso",0.5,0))</x:f>
        <x:v>0.5</x:v>
      </x:c>
      <x:c r="D23" s="12"/>
      <x:c r="E23" s="6" t="str">
        <x:v>Fecha</x:v>
      </x:c>
      <x:c r="F23" s="6" t="str">
        <x:v>Sprint</x:v>
      </x:c>
      <x:c r="G23" s="6" t="str">
        <x:v>Etapa</x:v>
      </x:c>
      <x:c r="H23" s="6" t="str">
        <x:v>Entregable principal</x:v>
      </x:c>
      <x:c r="I23" s="6" t="str">
        <x:v>Estado</x:v>
      </x:c>
      <x:c r="J23" s="12"/>
      <x:c r="K23" s="12"/>
      <x:c r="L23" s="12"/>
    </x:row>
    <x:row r="24">
      <x:c r="A24" s="130" t="str">
        <x:f>Objetivos_SMART!A5</x:f>
        <x:v>OE2</x:v>
      </x:c>
      <x:c r="B24" s="12" t="str">
        <x:f>Objetivos_SMART!K5</x:f>
        <x:v>En progreso</x:v>
      </x:c>
      <x:c r="C24" s="38" t="n">
        <x:f>IF(B24="Cumplido",1,IF(B24="En progreso",0.5,0))</x:f>
        <x:v>0.5</x:v>
      </x:c>
      <x:c r="D24" s="12"/>
      <x:c r="E24" s="24" t="n">
        <x:f>Sprints!C4</x:f>
        <x:v>46269</x:v>
      </x:c>
      <x:c r="F24" s="12" t="str">
        <x:f>Sprints!A4</x:f>
        <x:v>S1</x:v>
      </x:c>
      <x:c r="G24" s="12" t="str">
        <x:f>Sprints!D4</x:f>
        <x:v>Etapa 1</x:v>
      </x:c>
      <x:c r="H24" s="12" t="str">
        <x:f>Sprints!F4</x:f>
        <x:v>Informe Etapa 1 + Backlog + trazabilidad.</x:v>
      </x:c>
      <x:c r="I24" s="12" t="str">
        <x:f>Sprints!J4</x:f>
        <x:v>En progreso</x:v>
      </x:c>
      <x:c r="J24" s="12"/>
      <x:c r="K24" s="12"/>
      <x:c r="L24" s="12"/>
    </x:row>
    <x:row r="25">
      <x:c r="A25" s="130" t="str">
        <x:f>Objetivos_SMART!A6</x:f>
        <x:v>OE3</x:v>
      </x:c>
      <x:c r="B25" s="12" t="str">
        <x:f>Objetivos_SMART!K6</x:f>
        <x:v>Pendiente</x:v>
      </x:c>
      <x:c r="C25" s="38" t="n">
        <x:f>IF(B25="Cumplido",1,IF(B25="En progreso",0.5,0))</x:f>
        <x:v>0</x:v>
      </x:c>
      <x:c r="D25" s="12"/>
      <x:c r="E25" s="24" t="n">
        <x:f>Sprints!C5</x:f>
        <x:v>46297</x:v>
      </x:c>
      <x:c r="F25" s="12" t="str">
        <x:f>Sprints!A5</x:f>
        <x:v>S2</x:v>
      </x:c>
      <x:c r="G25" s="12" t="str">
        <x:f>Sprints!D5</x:f>
        <x:v>Etapa 2</x:v>
      </x:c>
      <x:c r="H25" s="12" t="str">
        <x:f>Sprints!F5</x:f>
        <x:v>DevStack funcional, baseline, análisis de Placement y Glance, contratos y diseño técnico.</x:v>
      </x:c>
      <x:c r="I25" s="12" t="str">
        <x:f>Sprints!J5</x:f>
        <x:v>Pendiente</x:v>
      </x:c>
      <x:c r="J25" s="12"/>
      <x:c r="K25" s="12"/>
      <x:c r="L25" s="12"/>
    </x:row>
    <x:row r="26">
      <x:c r="A26" s="130" t="str">
        <x:f>Objetivos_SMART!A7</x:f>
        <x:v>OE4</x:v>
      </x:c>
      <x:c r="B26" s="12" t="str">
        <x:f>Objetivos_SMART!K7</x:f>
        <x:v>Pendiente</x:v>
      </x:c>
      <x:c r="C26" s="38" t="n">
        <x:f>IF(B26="Cumplido",1,IF(B26="En progreso",0.5,0))</x:f>
        <x:v>0</x:v>
      </x:c>
      <x:c r="D26" s="12"/>
      <x:c r="E26" s="24" t="n">
        <x:f>Sprints!C6</x:f>
        <x:v>46325</x:v>
      </x:c>
      <x:c r="F26" s="12" t="str">
        <x:f>Sprints!A6</x:f>
        <x:v>S3</x:v>
      </x:c>
      <x:c r="G26" s="12" t="str">
        <x:f>Sprints!D6</x:f>
        <x:v>Etapa 3</x:v>
      </x:c>
      <x:c r="H26" s="12" t="str">
        <x:f>Sprints!F6</x:f>
        <x:v>Placement parcialmente funcional, diseño/prototipo de Glance y resultados preliminares.</x:v>
      </x:c>
      <x:c r="I26" s="12" t="str">
        <x:f>Sprints!J6</x:f>
        <x:v>Pendiente</x:v>
      </x:c>
      <x:c r="J26" s="12"/>
      <x:c r="K26" s="12"/>
      <x:c r="L26" s="12"/>
    </x:row>
    <x:row r="27">
      <x:c r="A27" s="130" t="str">
        <x:f>Objetivos_SMART!A8</x:f>
        <x:v>OE5</x:v>
      </x:c>
      <x:c r="B27" s="12" t="str">
        <x:f>Objetivos_SMART!K8</x:f>
        <x:v>Pendiente</x:v>
      </x:c>
      <x:c r="C27" s="38" t="n">
        <x:f>IF(B27="Cumplido",1,IF(B27="En progreso",0.5,0))</x:f>
        <x:v>0</x:v>
      </x:c>
      <x:c r="D27" s="12"/>
      <x:c r="E27" s="24" t="n">
        <x:f>Sprints!C7</x:f>
        <x:v>46346</x:v>
      </x:c>
      <x:c r="F27" s="12" t="str">
        <x:f>Sprints!A7</x:f>
        <x:v>S4</x:v>
      </x:c>
      <x:c r="G27" s="12" t="str">
        <x:f>Sprints!D7</x:f>
        <x:v>Implementación</x:v>
      </x:c>
      <x:c r="H27" s="12" t="str">
        <x:f>Sprints!F7</x:f>
        <x:v>Placement integrado y núcleo de Glance funcional con pruebas de API y datos de imagen.</x:v>
      </x:c>
      <x:c r="I27" s="12" t="str">
        <x:f>Sprints!J7</x:f>
        <x:v>Pendiente</x:v>
      </x:c>
      <x:c r="J27" s="12"/>
      <x:c r="K27" s="12"/>
      <x:c r="L27" s="12"/>
    </x:row>
    <x:row r="28">
      <x:c r="A28" s="130"/>
      <x:c r="B28" s="12"/>
      <x:c r="C28" s="12"/>
      <x:c r="D28" s="12"/>
      <x:c r="E28" s="24" t="n">
        <x:f>Sprints!C8</x:f>
        <x:v>46360</x:v>
      </x:c>
      <x:c r="F28" s="12" t="str">
        <x:f>Sprints!A8</x:f>
        <x:v>S5</x:v>
      </x:c>
      <x:c r="G28" s="12" t="str">
        <x:f>Sprints!D8</x:f>
        <x:v>Etapa 4</x:v>
      </x:c>
      <x:c r="H28" s="12" t="str">
        <x:f>Sprints!F8</x:f>
        <x:v>Pruebas end-to-end de Placement y Glance, comparaciones, conclusiones e informe.</x:v>
      </x:c>
      <x:c r="I28" s="12" t="str">
        <x:f>Sprints!J8</x:f>
        <x:v>Pendiente</x:v>
      </x:c>
      <x:c r="J28" s="12"/>
      <x:c r="K28" s="12"/>
      <x:c r="L28" s="12"/>
    </x:row>
    <x:row r="29">
      <x:c r="A29" s="130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30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30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30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30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30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30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30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30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30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30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30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8"/>
    </x:row>
    <x:row r="42">
      <x:c r="A42" s="128"/>
    </x:row>
    <x:row r="43">
      <x:c r="A43" s="128"/>
    </x:row>
    <x:row r="44">
      <x:c r="A44" s="128"/>
    </x:row>
    <x:row r="45">
      <x:c r="A45" s="128"/>
    </x:row>
    <x:row r="46">
      <x:c r="A46" s="128"/>
    </x:row>
    <x:row r="47">
      <x:c r="A47" s="128"/>
    </x:row>
    <x:row r="48">
      <x:c r="A48" s="128"/>
    </x:row>
    <x:row r="49">
      <x:c r="A49" s="128"/>
    </x:row>
    <x:row r="50">
      <x:c r="A50" s="128"/>
    </x:row>
    <x:row r="51">
      <x:c r="A51" s="128"/>
    </x:row>
    <x:row r="52">
      <x:c r="A52" s="128"/>
    </x:row>
    <x:row r="53">
      <x:c r="A53" s="128"/>
    </x:row>
    <x:row r="54">
      <x:c r="A54" s="128"/>
    </x:row>
    <x:row r="55">
      <x:c r="A55" s="128"/>
    </x:row>
    <x:row r="56">
      <x:c r="A56" s="128"/>
    </x:row>
    <x:row r="57">
      <x:c r="A57" s="128"/>
    </x:row>
    <x:row r="58">
      <x:c r="A58" s="128"/>
    </x:row>
    <x:row r="59">
      <x:c r="A59" s="128"/>
    </x:row>
    <x:row r="60">
      <x:c r="A60" s="128"/>
    </x:row>
    <x:row r="61">
      <x:c r="A61" s="128"/>
    </x:row>
    <x:row r="62">
      <x:c r="A62" s="128"/>
    </x:row>
    <x:row r="63">
      <x:c r="A63" s="128"/>
    </x:row>
    <x:row r="64">
      <x:c r="A64" s="128"/>
    </x:row>
    <x:row r="65">
      <x:c r="A65" s="128"/>
    </x:row>
    <x:row r="66">
      <x:c r="A66" s="128"/>
    </x:row>
    <x:row r="67">
      <x:c r="A67" s="128"/>
    </x:row>
    <x:row r="68">
      <x:c r="A68" s="128"/>
    </x:row>
    <x:row r="69">
      <x:c r="A69" s="128"/>
    </x:row>
    <x:row r="70">
      <x:c r="A70" s="128"/>
    </x:row>
    <x:row r="71">
      <x:c r="A71" s="128"/>
    </x:row>
    <x:row r="72">
      <x:c r="A72" s="128"/>
    </x:row>
    <x:row r="73">
      <x:c r="A73" s="128"/>
    </x:row>
    <x:row r="74">
      <x:c r="A74" s="128"/>
    </x:row>
    <x:row r="75">
      <x:c r="A75" s="128"/>
    </x:row>
    <x:row r="76">
      <x:c r="A76" s="128"/>
    </x:row>
    <x:row r="77">
      <x:c r="A77" s="128"/>
    </x:row>
    <x:row r="78">
      <x:c r="A78" s="128"/>
    </x:row>
    <x:row r="79">
      <x:c r="A79" s="128"/>
    </x:row>
    <x:row r="80">
      <x:c r="A80" s="128"/>
    </x:row>
    <x:row r="81">
      <x:c r="A81" s="128"/>
    </x:row>
    <x:row r="82">
      <x:c r="A82" s="128"/>
    </x:row>
    <x:row r="83">
      <x:c r="A83" s="128"/>
    </x:row>
    <x:row r="84">
      <x:c r="A84" s="128"/>
    </x:row>
    <x:row r="85">
      <x:c r="A85" s="128"/>
    </x:row>
    <x:row r="86">
      <x:c r="A86" s="128"/>
    </x:row>
    <x:row r="87">
      <x:c r="A87" s="128"/>
    </x:row>
    <x:row r="88">
      <x:c r="A88" s="128"/>
    </x:row>
    <x:row r="89">
      <x:c r="A89" s="128"/>
    </x:row>
    <x:row r="90">
      <x:c r="A90" s="128"/>
    </x:row>
    <x:row r="91">
      <x:c r="A91" s="128"/>
    </x:row>
    <x:row r="92">
      <x:c r="A92" s="128"/>
    </x:row>
    <x:row r="93">
      <x:c r="A93" s="128"/>
    </x:row>
    <x:row r="94">
      <x:c r="A94" s="128"/>
    </x:row>
    <x:row r="95">
      <x:c r="A95" s="128"/>
    </x:row>
    <x:row r="96">
      <x:c r="A96" s="128"/>
    </x:row>
    <x:row r="97">
      <x:c r="A97" s="128"/>
    </x:row>
    <x:row r="98">
      <x:c r="A98" s="128"/>
    </x:row>
    <x:row r="99">
      <x:c r="A99" s="128"/>
    </x:row>
    <x:row r="100">
      <x:c r="A100" s="128"/>
    </x:row>
    <x:row r="101">
      <x:c r="A101" s="128"/>
    </x:row>
    <x:row r="102">
      <x:c r="A102" s="128"/>
    </x:row>
    <x:row r="103">
      <x:c r="A103" s="128"/>
    </x:row>
    <x:row r="104">
      <x:c r="A104" s="128"/>
    </x:row>
    <x:row r="105">
      <x:c r="A105" s="128"/>
    </x:row>
    <x:row r="106">
      <x:c r="A106" s="128"/>
    </x:row>
    <x:row r="107">
      <x:c r="A107" s="128"/>
    </x:row>
    <x:row r="108">
      <x:c r="A108" s="128"/>
    </x:row>
    <x:row r="109">
      <x:c r="A109" s="128"/>
    </x:row>
    <x:row r="110">
      <x:c r="A110" s="128"/>
    </x:row>
    <x:row r="111">
      <x:c r="A111" s="128"/>
    </x:row>
    <x:row r="112">
      <x:c r="A112" s="128"/>
    </x:row>
    <x:row r="113">
      <x:c r="A113" s="128"/>
    </x:row>
    <x:row r="114">
      <x:c r="A114" s="128"/>
    </x:row>
    <x:row r="115">
      <x:c r="A115" s="128"/>
    </x:row>
    <x:row r="116">
      <x:c r="A116" s="128"/>
    </x:row>
    <x:row r="117">
      <x:c r="A117" s="128"/>
    </x:row>
    <x:row r="118">
      <x:c r="A118" s="128"/>
    </x:row>
    <x:row r="119">
      <x:c r="A119" s="128"/>
    </x:row>
    <x:row r="120">
      <x:c r="A120" s="128"/>
    </x:row>
    <x:row r="121">
      <x:c r="A121" s="128"/>
    </x:row>
    <x:row r="122">
      <x:c r="A122" s="128"/>
    </x:row>
    <x:row r="123">
      <x:c r="A123" s="128"/>
    </x:row>
    <x:row r="124">
      <x:c r="A124" s="128"/>
    </x:row>
    <x:row r="125">
      <x:c r="A125" s="128"/>
    </x:row>
    <x:row r="126">
      <x:c r="A126" s="128"/>
    </x:row>
    <x:row r="127">
      <x:c r="A127" s="128"/>
    </x:row>
    <x:row r="128">
      <x:c r="A128" s="128"/>
    </x:row>
    <x:row r="129">
      <x:c r="A129" s="128"/>
    </x:row>
    <x:row r="130">
      <x:c r="A130" s="128"/>
    </x:row>
    <x:row r="131">
      <x:c r="A131" s="128"/>
    </x:row>
    <x:row r="132">
      <x:c r="A132" s="128"/>
    </x:row>
    <x:row r="133">
      <x:c r="A133" s="128"/>
    </x:row>
    <x:row r="134">
      <x:c r="A134" s="128"/>
    </x:row>
    <x:row r="135">
      <x:c r="A135" s="128"/>
    </x:row>
    <x:row r="136">
      <x:c r="A136" s="128"/>
    </x:row>
    <x:row r="137">
      <x:c r="A137" s="128"/>
    </x:row>
    <x:row r="138">
      <x:c r="A138" s="128"/>
    </x:row>
    <x:row r="139">
      <x:c r="A139" s="128"/>
    </x:row>
    <x:row r="140">
      <x:c r="A140" s="128"/>
    </x:row>
    <x:row r="141">
      <x:c r="A141" s="128"/>
    </x:row>
    <x:row r="142">
      <x:c r="A142" s="128"/>
    </x:row>
    <x:row r="143">
      <x:c r="A143" s="128"/>
    </x:row>
    <x:row r="144">
      <x:c r="A144" s="128"/>
    </x:row>
    <x:row r="145">
      <x:c r="A145" s="128"/>
    </x:row>
    <x:row r="146">
      <x:c r="A146" s="128"/>
    </x:row>
    <x:row r="147">
      <x:c r="A147" s="128"/>
    </x:row>
    <x:row r="148">
      <x:c r="A148" s="128"/>
    </x:row>
    <x:row r="149">
      <x:c r="A149" s="128"/>
    </x:row>
    <x:row r="150">
      <x:c r="A150" s="128"/>
    </x:row>
    <x:row r="151">
      <x:c r="A151" s="128"/>
    </x:row>
    <x:row r="152">
      <x:c r="A152" s="128"/>
    </x:row>
    <x:row r="153">
      <x:c r="A153" s="128"/>
    </x:row>
    <x:row r="154">
      <x:c r="A154" s="128"/>
    </x:row>
    <x:row r="155">
      <x:c r="A155" s="128"/>
    </x:row>
    <x:row r="156">
      <x:c r="A156" s="128"/>
    </x:row>
    <x:row r="157">
      <x:c r="A157" s="128"/>
    </x:row>
    <x:row r="158">
      <x:c r="A158" s="128"/>
    </x:row>
    <x:row r="159">
      <x:c r="A159" s="128"/>
    </x:row>
    <x:row r="160">
      <x:c r="A160" s="128"/>
    </x:row>
    <x:row r="161">
      <x:c r="A161" s="128"/>
    </x:row>
    <x:row r="162">
      <x:c r="A162" s="128"/>
    </x:row>
    <x:row r="163">
      <x:c r="A163" s="128"/>
    </x:row>
    <x:row r="164">
      <x:c r="A164" s="128"/>
    </x:row>
    <x:row r="165">
      <x:c r="A165" s="128"/>
    </x:row>
    <x:row r="166">
      <x:c r="A166" s="128"/>
    </x:row>
    <x:row r="167">
      <x:c r="A167" s="128"/>
    </x:row>
    <x:row r="168">
      <x:c r="A168" s="128"/>
    </x:row>
    <x:row r="169">
      <x:c r="A169" s="128"/>
    </x:row>
    <x:row r="170">
      <x:c r="A170" s="128"/>
    </x:row>
    <x:row r="171">
      <x:c r="A171" s="128"/>
    </x:row>
    <x:row r="172">
      <x:c r="A172" s="128"/>
    </x:row>
    <x:row r="173">
      <x:c r="A173" s="128"/>
    </x:row>
    <x:row r="174">
      <x:c r="A174" s="128"/>
    </x:row>
    <x:row r="175">
      <x:c r="A175" s="128"/>
    </x:row>
    <x:row r="176">
      <x:c r="A176" s="128"/>
    </x:row>
    <x:row r="177">
      <x:c r="A177" s="128"/>
    </x:row>
    <x:row r="178">
      <x:c r="A178" s="128"/>
    </x:row>
    <x:row r="179">
      <x:c r="A179" s="128"/>
    </x:row>
    <x:row r="180">
      <x:c r="A180" s="128"/>
    </x:row>
    <x:row r="181">
      <x:c r="A181" s="128"/>
    </x:row>
    <x:row r="182">
      <x:c r="A182" s="128"/>
    </x:row>
    <x:row r="183">
      <x:c r="A183" s="128"/>
    </x:row>
    <x:row r="184">
      <x:c r="A184" s="128"/>
    </x:row>
    <x:row r="185">
      <x:c r="A185" s="128"/>
    </x:row>
    <x:row r="186">
      <x:c r="A186" s="128"/>
    </x:row>
    <x:row r="187">
      <x:c r="A187" s="128"/>
    </x:row>
    <x:row r="188">
      <x:c r="A188" s="128"/>
    </x:row>
    <x:row r="189">
      <x:c r="A189" s="128"/>
    </x:row>
    <x:row r="190">
      <x:c r="A190" s="128"/>
    </x:row>
    <x:row r="191">
      <x:c r="A191" s="128"/>
    </x:row>
    <x:row r="192">
      <x:c r="A192" s="128"/>
    </x:row>
    <x:row r="193">
      <x:c r="A193" s="128"/>
    </x:row>
    <x:row r="194">
      <x:c r="A194" s="128"/>
    </x:row>
    <x:row r="195">
      <x:c r="A195" s="128"/>
    </x:row>
    <x:row r="196">
      <x:c r="A196" s="128"/>
    </x:row>
    <x:row r="197">
      <x:c r="A197" s="128"/>
    </x:row>
    <x:row r="198">
      <x:c r="A198" s="128"/>
    </x:row>
    <x:row r="199">
      <x:c r="A199" s="128"/>
    </x:row>
    <x:row r="200">
      <x:c r="A200" s="128"/>
    </x:row>
  </x:sheetData>
  <x:mergeCells>
    <x:mergeCell ref="A1:L1"/>
    <x:mergeCell ref="A3:C5"/>
    <x:mergeCell ref="D3:F5"/>
    <x:mergeCell ref="G3:I5"/>
    <x:mergeCell ref="J3:L5"/>
    <x:mergeCell ref="A7:C9"/>
    <x:mergeCell ref="D7:F9"/>
    <x:mergeCell ref="G7:I9"/>
    <x:mergeCell ref="J7:L9"/>
    <x:mergeCell ref="E22:I22"/>
  </x:mergeCells>
  <x:pageMargins left="0.7" right="0.7" top="0.75" bottom="0.75" header="0.3" footer="0.3"/>
  <x:drawing xmlns:r="http://schemas.openxmlformats.org/officeDocument/2006/relationships" r:id="R480bdf8e792a482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Estado backlog</x:v>
      </x:c>
      <x:c r="B1" s="6" t="str">
        <x:v>Prioridad</x:v>
      </x:c>
      <x:c r="C1" s="6" t="str">
        <x:v>Responsable</x:v>
      </x:c>
      <x:c r="D1" s="6" t="str">
        <x:v>Tipo backlog</x:v>
      </x:c>
      <x:c r="E1" s="6" t="str">
        <x:v>Estado requerimiento</x:v>
      </x:c>
      <x:c r="F1" s="6" t="str">
        <x:v>Estado objetivo</x:v>
      </x:c>
      <x:c r="G1" s="6" t="str">
        <x:v>Sprint</x:v>
      </x:c>
      <x:c r="H1" s="6" t="str">
        <x:v>Story Points</x:v>
      </x:c>
    </x:row>
    <x:row r="2">
      <x:c r="A2" s="12" t="str">
        <x:v>Pendiente</x:v>
      </x:c>
      <x:c r="B2" s="12" t="str">
        <x:v>Must</x:v>
      </x:c>
      <x:c r="C2" s="12" t="str">
        <x:v>Paolo</x:v>
      </x:c>
      <x:c r="D2" s="12" t="str">
        <x:v>Épica</x:v>
      </x:c>
      <x:c r="E2" s="12" t="str">
        <x:v>Propuesto</x:v>
      </x:c>
      <x:c r="F2" s="12" t="str">
        <x:v>Pendiente</x:v>
      </x:c>
      <x:c r="G2" s="12" t="str">
        <x:v>S1</x:v>
      </x:c>
      <x:c r="H2" s="12" t="n">
        <x:v>1</x:v>
      </x:c>
    </x:row>
    <x:row r="3">
      <x:c r="A3" s="12" t="str">
        <x:v>En progreso</x:v>
      </x:c>
      <x:c r="B3" s="12" t="str">
        <x:v>Should</x:v>
      </x:c>
      <x:c r="C3" s="12" t="str">
        <x:v>Juan</x:v>
      </x:c>
      <x:c r="D3" s="12" t="str">
        <x:v>Historia</x:v>
      </x:c>
      <x:c r="E3" s="12" t="str">
        <x:v>Aprobado</x:v>
      </x:c>
      <x:c r="F3" s="12" t="str">
        <x:v>En progreso</x:v>
      </x:c>
      <x:c r="G3" s="12" t="str">
        <x:v>S2</x:v>
      </x:c>
      <x:c r="H3" s="12" t="n">
        <x:v>2</x:v>
      </x:c>
    </x:row>
    <x:row r="4">
      <x:c r="A4" s="12" t="str">
        <x:v>Hecho</x:v>
      </x:c>
      <x:c r="B4" s="12" t="str">
        <x:v>Could</x:v>
      </x:c>
      <x:c r="C4" s="12" t="str">
        <x:v>Ambos</x:v>
      </x:c>
      <x:c r="D4" s="12" t="str">
        <x:v>Tarea</x:v>
      </x:c>
      <x:c r="E4" s="12" t="str">
        <x:v>En desarrollo</x:v>
      </x:c>
      <x:c r="F4" s="12" t="str">
        <x:v>Cumplido</x:v>
      </x:c>
      <x:c r="G4" s="12" t="str">
        <x:v>S3</x:v>
      </x:c>
      <x:c r="H4" s="12" t="n">
        <x:v>3</x:v>
      </x:c>
    </x:row>
    <x:row r="5">
      <x:c r="A5" s="12" t="str">
        <x:v>Bloqueado</x:v>
      </x:c>
      <x:c r="B5" s="12" t="str">
        <x:v>Won't</x:v>
      </x:c>
      <x:c r="C5" s="12" t="str">
        <x:v>Sin asignar</x:v>
      </x:c>
      <x:c r="D5" s="12" t="str">
        <x:v>Spike</x:v>
      </x:c>
      <x:c r="E5" s="12" t="str">
        <x:v>Implementado</x:v>
      </x:c>
      <x:c r="F5" s="12" t="str">
        <x:v>Bloqueado</x:v>
      </x:c>
      <x:c r="G5" s="12" t="str">
        <x:v>S4</x:v>
      </x:c>
      <x:c r="H5" s="12" t="n">
        <x:v>5</x:v>
      </x:c>
    </x:row>
    <x:row r="6">
      <x:c r="A6" s="12" t="str">
        <x:v>Descartado</x:v>
      </x:c>
      <x:c r="B6" s="12"/>
      <x:c r="C6" s="12"/>
      <x:c r="D6" s="12" t="str">
        <x:v>Bug</x:v>
      </x:c>
      <x:c r="E6" s="12" t="str">
        <x:v>Validado</x:v>
      </x:c>
      <x:c r="F6" s="12"/>
      <x:c r="G6" s="12" t="str">
        <x:v>S5</x:v>
      </x:c>
      <x:c r="H6" s="12" t="n">
        <x:v>8</x:v>
      </x:c>
    </x:row>
    <x:row r="7">
      <x:c r="A7" s="12"/>
      <x:c r="B7" s="12"/>
      <x:c r="C7" s="12"/>
      <x:c r="D7" s="12"/>
      <x:c r="E7" s="12" t="str">
        <x:v>Descartado</x:v>
      </x:c>
      <x:c r="F7" s="12"/>
      <x:c r="G7" s="12"/>
      <x:c r="H7" s="12" t="n">
        <x:v>13</x:v>
      </x:c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</x:sheetData>
  <x:pageMargins left="0.7" right="0.7" top="0.75" bottom="0.75" header="0.3" footer="0.3"/>
</x:worksheet>
</file>